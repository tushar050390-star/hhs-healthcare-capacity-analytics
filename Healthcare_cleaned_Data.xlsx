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 Docs\Internship - Unified\Healthcare Capacity Analytics\Business Documents\"/>
    </mc:Choice>
  </mc:AlternateContent>
  <xr:revisionPtr revIDLastSave="0" documentId="8_{A25D03D4-33EF-44E6-AE06-516C5519C5FF}" xr6:coauthVersionLast="47" xr6:coauthVersionMax="47" xr10:uidLastSave="{00000000-0000-0000-0000-000000000000}"/>
  <bookViews>
    <workbookView xWindow="732" yWindow="732" windowWidth="21624" windowHeight="11220" firstSheet="1" activeTab="3"/>
  </bookViews>
  <sheets>
    <sheet name="System_load_trend" sheetId="1" r:id="rId1"/>
    <sheet name="Inflow_vs_Outflow_Analysis" sheetId="2" r:id="rId2"/>
    <sheet name="Backlog_Accumulation_Trend" sheetId="3" r:id="rId3"/>
    <sheet name="HHS_Unaccompanied_Alien_Childre" sheetId="4" r:id="rId4"/>
    <sheet name="KPIs" sheetId="5" r:id="rId5"/>
  </sheets>
  <definedNames>
    <definedName name="Connection1" localSheetId="3" hidden="1">HHS_Unaccompanied_Alien_Childre!$A$1:$Q$1171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5" l="1"/>
  <c r="O721" i="4"/>
  <c r="N721" i="4"/>
  <c r="M721" i="4"/>
  <c r="L721" i="4"/>
  <c r="K721" i="4"/>
  <c r="J721" i="4"/>
  <c r="I721" i="4"/>
  <c r="P721" i="4" s="1"/>
  <c r="C721" i="4"/>
  <c r="B721" i="4"/>
  <c r="P720" i="4"/>
  <c r="O720" i="4"/>
  <c r="M720" i="4"/>
  <c r="L720" i="4"/>
  <c r="J720" i="4"/>
  <c r="N720" i="4" s="1"/>
  <c r="I720" i="4"/>
  <c r="K720" i="4" s="1"/>
  <c r="C720" i="4"/>
  <c r="B720" i="4"/>
  <c r="P719" i="4"/>
  <c r="O719" i="4"/>
  <c r="M719" i="4"/>
  <c r="L719" i="4"/>
  <c r="K719" i="4"/>
  <c r="J719" i="4"/>
  <c r="N719" i="4" s="1"/>
  <c r="I719" i="4"/>
  <c r="C719" i="4"/>
  <c r="B719" i="4"/>
  <c r="O718" i="4"/>
  <c r="N718" i="4"/>
  <c r="M718" i="4"/>
  <c r="L718" i="4"/>
  <c r="K718" i="4"/>
  <c r="J718" i="4"/>
  <c r="I718" i="4"/>
  <c r="P718" i="4" s="1"/>
  <c r="C718" i="4"/>
  <c r="B718" i="4"/>
  <c r="O717" i="4"/>
  <c r="N717" i="4"/>
  <c r="M717" i="4"/>
  <c r="L717" i="4"/>
  <c r="J717" i="4"/>
  <c r="I717" i="4"/>
  <c r="C717" i="4"/>
  <c r="B717" i="4"/>
  <c r="O716" i="4"/>
  <c r="M716" i="4"/>
  <c r="L716" i="4"/>
  <c r="J716" i="4"/>
  <c r="N716" i="4" s="1"/>
  <c r="I716" i="4"/>
  <c r="C716" i="4"/>
  <c r="B716" i="4"/>
  <c r="P715" i="4"/>
  <c r="O715" i="4"/>
  <c r="M715" i="4"/>
  <c r="L715" i="4"/>
  <c r="J715" i="4"/>
  <c r="N715" i="4" s="1"/>
  <c r="I715" i="4"/>
  <c r="C715" i="4"/>
  <c r="B715" i="4"/>
  <c r="P714" i="4"/>
  <c r="O714" i="4"/>
  <c r="M714" i="4"/>
  <c r="L714" i="4"/>
  <c r="K714" i="4"/>
  <c r="J714" i="4"/>
  <c r="N714" i="4" s="1"/>
  <c r="I714" i="4"/>
  <c r="C714" i="4"/>
  <c r="B714" i="4"/>
  <c r="O713" i="4"/>
  <c r="M713" i="4"/>
  <c r="L713" i="4"/>
  <c r="K713" i="4"/>
  <c r="J713" i="4"/>
  <c r="N713" i="4" s="1"/>
  <c r="I713" i="4"/>
  <c r="P713" i="4" s="1"/>
  <c r="C713" i="4"/>
  <c r="B713" i="4"/>
  <c r="O712" i="4"/>
  <c r="N712" i="4"/>
  <c r="M712" i="4"/>
  <c r="L712" i="4"/>
  <c r="J712" i="4"/>
  <c r="I712" i="4"/>
  <c r="C712" i="4"/>
  <c r="B712" i="4"/>
  <c r="O711" i="4"/>
  <c r="N711" i="4"/>
  <c r="M711" i="4"/>
  <c r="L711" i="4"/>
  <c r="J711" i="4"/>
  <c r="I711" i="4"/>
  <c r="K710" i="4" s="1"/>
  <c r="C711" i="4"/>
  <c r="B711" i="4"/>
  <c r="O710" i="4"/>
  <c r="N710" i="4"/>
  <c r="M710" i="4"/>
  <c r="L710" i="4"/>
  <c r="J710" i="4"/>
  <c r="I710" i="4"/>
  <c r="C710" i="4"/>
  <c r="B710" i="4"/>
  <c r="O709" i="4"/>
  <c r="M709" i="4"/>
  <c r="L709" i="4"/>
  <c r="J709" i="4"/>
  <c r="N709" i="4" s="1"/>
  <c r="I709" i="4"/>
  <c r="C709" i="4"/>
  <c r="B709" i="4"/>
  <c r="O708" i="4"/>
  <c r="M708" i="4"/>
  <c r="L708" i="4"/>
  <c r="J708" i="4"/>
  <c r="N708" i="4" s="1"/>
  <c r="I708" i="4"/>
  <c r="C708" i="4"/>
  <c r="B708" i="4"/>
  <c r="P707" i="4"/>
  <c r="O707" i="4"/>
  <c r="M707" i="4"/>
  <c r="L707" i="4"/>
  <c r="J707" i="4"/>
  <c r="N707" i="4" s="1"/>
  <c r="I707" i="4"/>
  <c r="C707" i="4"/>
  <c r="B707" i="4"/>
  <c r="P706" i="4"/>
  <c r="O706" i="4"/>
  <c r="M706" i="4"/>
  <c r="L706" i="4"/>
  <c r="K706" i="4"/>
  <c r="J706" i="4"/>
  <c r="N706" i="4" s="1"/>
  <c r="I706" i="4"/>
  <c r="C706" i="4"/>
  <c r="B706" i="4"/>
  <c r="O705" i="4"/>
  <c r="M705" i="4"/>
  <c r="L705" i="4"/>
  <c r="K705" i="4"/>
  <c r="J705" i="4"/>
  <c r="N705" i="4" s="1"/>
  <c r="I705" i="4"/>
  <c r="P705" i="4" s="1"/>
  <c r="C705" i="4"/>
  <c r="B705" i="4"/>
  <c r="O704" i="4"/>
  <c r="N704" i="4"/>
  <c r="M704" i="4"/>
  <c r="L704" i="4"/>
  <c r="J704" i="4"/>
  <c r="I704" i="4"/>
  <c r="C704" i="4"/>
  <c r="B704" i="4"/>
  <c r="P703" i="4"/>
  <c r="O703" i="4"/>
  <c r="N703" i="4"/>
  <c r="M703" i="4"/>
  <c r="L703" i="4"/>
  <c r="J703" i="4"/>
  <c r="I703" i="4"/>
  <c r="K703" i="4" s="1"/>
  <c r="C703" i="4"/>
  <c r="B703" i="4"/>
  <c r="O702" i="4"/>
  <c r="N702" i="4"/>
  <c r="M702" i="4"/>
  <c r="L702" i="4"/>
  <c r="J702" i="4"/>
  <c r="I702" i="4"/>
  <c r="P702" i="4" s="1"/>
  <c r="C702" i="4"/>
  <c r="B702" i="4"/>
  <c r="O701" i="4"/>
  <c r="M701" i="4"/>
  <c r="L701" i="4"/>
  <c r="J701" i="4"/>
  <c r="N701" i="4" s="1"/>
  <c r="I701" i="4"/>
  <c r="C701" i="4"/>
  <c r="B701" i="4"/>
  <c r="O700" i="4"/>
  <c r="M700" i="4"/>
  <c r="L700" i="4"/>
  <c r="J700" i="4"/>
  <c r="N700" i="4" s="1"/>
  <c r="I700" i="4"/>
  <c r="C700" i="4"/>
  <c r="B700" i="4"/>
  <c r="O699" i="4"/>
  <c r="M699" i="4"/>
  <c r="L699" i="4"/>
  <c r="J699" i="4"/>
  <c r="N699" i="4" s="1"/>
  <c r="I699" i="4"/>
  <c r="C699" i="4"/>
  <c r="B699" i="4"/>
  <c r="O698" i="4"/>
  <c r="M698" i="4"/>
  <c r="L698" i="4"/>
  <c r="K698" i="4"/>
  <c r="J698" i="4"/>
  <c r="N698" i="4" s="1"/>
  <c r="I698" i="4"/>
  <c r="C698" i="4"/>
  <c r="B698" i="4"/>
  <c r="O697" i="4"/>
  <c r="M697" i="4"/>
  <c r="L697" i="4"/>
  <c r="K697" i="4"/>
  <c r="J697" i="4"/>
  <c r="N697" i="4" s="1"/>
  <c r="I697" i="4"/>
  <c r="C697" i="4"/>
  <c r="B697" i="4"/>
  <c r="O696" i="4"/>
  <c r="N696" i="4"/>
  <c r="M696" i="4"/>
  <c r="L696" i="4"/>
  <c r="J696" i="4"/>
  <c r="I696" i="4"/>
  <c r="C696" i="4"/>
  <c r="B696" i="4"/>
  <c r="P695" i="4"/>
  <c r="O695" i="4"/>
  <c r="N695" i="4"/>
  <c r="M695" i="4"/>
  <c r="L695" i="4"/>
  <c r="J695" i="4"/>
  <c r="I695" i="4"/>
  <c r="C695" i="4"/>
  <c r="B695" i="4"/>
  <c r="O694" i="4"/>
  <c r="N694" i="4"/>
  <c r="M694" i="4"/>
  <c r="L694" i="4"/>
  <c r="J694" i="4"/>
  <c r="I694" i="4"/>
  <c r="P694" i="4" s="1"/>
  <c r="C694" i="4"/>
  <c r="B694" i="4"/>
  <c r="O693" i="4"/>
  <c r="M693" i="4"/>
  <c r="L693" i="4"/>
  <c r="J693" i="4"/>
  <c r="N693" i="4" s="1"/>
  <c r="I693" i="4"/>
  <c r="C693" i="4"/>
  <c r="B693" i="4"/>
  <c r="O692" i="4"/>
  <c r="M692" i="4"/>
  <c r="L692" i="4"/>
  <c r="J692" i="4"/>
  <c r="N692" i="4" s="1"/>
  <c r="I692" i="4"/>
  <c r="C692" i="4"/>
  <c r="B692" i="4"/>
  <c r="O691" i="4"/>
  <c r="M691" i="4"/>
  <c r="L691" i="4"/>
  <c r="J691" i="4"/>
  <c r="N691" i="4" s="1"/>
  <c r="I691" i="4"/>
  <c r="C691" i="4"/>
  <c r="B691" i="4"/>
  <c r="O690" i="4"/>
  <c r="M690" i="4"/>
  <c r="L690" i="4"/>
  <c r="K690" i="4"/>
  <c r="J690" i="4"/>
  <c r="N690" i="4" s="1"/>
  <c r="I690" i="4"/>
  <c r="C690" i="4"/>
  <c r="B690" i="4"/>
  <c r="O689" i="4"/>
  <c r="M689" i="4"/>
  <c r="L689" i="4"/>
  <c r="K689" i="4"/>
  <c r="J689" i="4"/>
  <c r="N689" i="4" s="1"/>
  <c r="I689" i="4"/>
  <c r="C689" i="4"/>
  <c r="B689" i="4"/>
  <c r="P688" i="4"/>
  <c r="O688" i="4"/>
  <c r="N688" i="4"/>
  <c r="M688" i="4"/>
  <c r="L688" i="4"/>
  <c r="J688" i="4"/>
  <c r="I688" i="4"/>
  <c r="C688" i="4"/>
  <c r="B688" i="4"/>
  <c r="P687" i="4"/>
  <c r="O687" i="4"/>
  <c r="N687" i="4"/>
  <c r="M687" i="4"/>
  <c r="L687" i="4"/>
  <c r="J687" i="4"/>
  <c r="I687" i="4"/>
  <c r="C687" i="4"/>
  <c r="B687" i="4"/>
  <c r="O686" i="4"/>
  <c r="N686" i="4"/>
  <c r="M686" i="4"/>
  <c r="L686" i="4"/>
  <c r="J686" i="4"/>
  <c r="I686" i="4"/>
  <c r="P686" i="4" s="1"/>
  <c r="C686" i="4"/>
  <c r="B686" i="4"/>
  <c r="O685" i="4"/>
  <c r="M685" i="4"/>
  <c r="L685" i="4"/>
  <c r="J685" i="4"/>
  <c r="N685" i="4" s="1"/>
  <c r="I685" i="4"/>
  <c r="C685" i="4"/>
  <c r="B685" i="4"/>
  <c r="O684" i="4"/>
  <c r="M684" i="4"/>
  <c r="L684" i="4"/>
  <c r="J684" i="4"/>
  <c r="N684" i="4" s="1"/>
  <c r="I684" i="4"/>
  <c r="C684" i="4"/>
  <c r="B684" i="4"/>
  <c r="O683" i="4"/>
  <c r="M683" i="4"/>
  <c r="L683" i="4"/>
  <c r="J683" i="4"/>
  <c r="N683" i="4" s="1"/>
  <c r="I683" i="4"/>
  <c r="C683" i="4"/>
  <c r="B683" i="4"/>
  <c r="O682" i="4"/>
  <c r="M682" i="4"/>
  <c r="L682" i="4"/>
  <c r="K682" i="4"/>
  <c r="J682" i="4"/>
  <c r="N682" i="4" s="1"/>
  <c r="I682" i="4"/>
  <c r="C682" i="4"/>
  <c r="B682" i="4"/>
  <c r="O681" i="4"/>
  <c r="N681" i="4"/>
  <c r="M681" i="4"/>
  <c r="L681" i="4"/>
  <c r="K681" i="4"/>
  <c r="J681" i="4"/>
  <c r="I681" i="4"/>
  <c r="C681" i="4"/>
  <c r="B681" i="4"/>
  <c r="O680" i="4"/>
  <c r="N680" i="4"/>
  <c r="M680" i="4"/>
  <c r="L680" i="4"/>
  <c r="J680" i="4"/>
  <c r="I680" i="4"/>
  <c r="C680" i="4"/>
  <c r="B680" i="4"/>
  <c r="O679" i="4"/>
  <c r="N679" i="4"/>
  <c r="M679" i="4"/>
  <c r="L679" i="4"/>
  <c r="K679" i="4"/>
  <c r="J679" i="4"/>
  <c r="I679" i="4"/>
  <c r="P679" i="4" s="1"/>
  <c r="C679" i="4"/>
  <c r="B679" i="4"/>
  <c r="O678" i="4"/>
  <c r="N678" i="4"/>
  <c r="M678" i="4"/>
  <c r="L678" i="4"/>
  <c r="J678" i="4"/>
  <c r="I678" i="4"/>
  <c r="C678" i="4"/>
  <c r="B678" i="4"/>
  <c r="O677" i="4"/>
  <c r="N677" i="4"/>
  <c r="M677" i="4"/>
  <c r="L677" i="4"/>
  <c r="J677" i="4"/>
  <c r="I677" i="4"/>
  <c r="C677" i="4"/>
  <c r="B677" i="4"/>
  <c r="O676" i="4"/>
  <c r="M676" i="4"/>
  <c r="L676" i="4"/>
  <c r="J676" i="4"/>
  <c r="N676" i="4" s="1"/>
  <c r="I676" i="4"/>
  <c r="C676" i="4"/>
  <c r="B676" i="4"/>
  <c r="O675" i="4"/>
  <c r="M675" i="4"/>
  <c r="L675" i="4"/>
  <c r="J675" i="4"/>
  <c r="N675" i="4" s="1"/>
  <c r="I675" i="4"/>
  <c r="C675" i="4"/>
  <c r="B675" i="4"/>
  <c r="O674" i="4"/>
  <c r="M674" i="4"/>
  <c r="L674" i="4"/>
  <c r="K674" i="4"/>
  <c r="J674" i="4"/>
  <c r="N674" i="4" s="1"/>
  <c r="I674" i="4"/>
  <c r="C674" i="4"/>
  <c r="B674" i="4"/>
  <c r="O673" i="4"/>
  <c r="N673" i="4"/>
  <c r="M673" i="4"/>
  <c r="L673" i="4"/>
  <c r="K673" i="4"/>
  <c r="J673" i="4"/>
  <c r="I673" i="4"/>
  <c r="C673" i="4"/>
  <c r="B673" i="4"/>
  <c r="P672" i="4"/>
  <c r="O672" i="4"/>
  <c r="N672" i="4"/>
  <c r="M672" i="4"/>
  <c r="L672" i="4"/>
  <c r="J672" i="4"/>
  <c r="I672" i="4"/>
  <c r="C672" i="4"/>
  <c r="B672" i="4"/>
  <c r="O671" i="4"/>
  <c r="N671" i="4"/>
  <c r="M671" i="4"/>
  <c r="L671" i="4"/>
  <c r="J671" i="4"/>
  <c r="I671" i="4"/>
  <c r="C671" i="4"/>
  <c r="B671" i="4"/>
  <c r="O670" i="4"/>
  <c r="N670" i="4"/>
  <c r="M670" i="4"/>
  <c r="L670" i="4"/>
  <c r="J670" i="4"/>
  <c r="I670" i="4"/>
  <c r="C670" i="4"/>
  <c r="B670" i="4"/>
  <c r="O669" i="4"/>
  <c r="N669" i="4"/>
  <c r="M669" i="4"/>
  <c r="L669" i="4"/>
  <c r="J669" i="4"/>
  <c r="I669" i="4"/>
  <c r="C669" i="4"/>
  <c r="B669" i="4"/>
  <c r="O668" i="4"/>
  <c r="M668" i="4"/>
  <c r="L668" i="4"/>
  <c r="J668" i="4"/>
  <c r="N668" i="4" s="1"/>
  <c r="I668" i="4"/>
  <c r="C668" i="4"/>
  <c r="B668" i="4"/>
  <c r="O667" i="4"/>
  <c r="M667" i="4"/>
  <c r="L667" i="4"/>
  <c r="J667" i="4"/>
  <c r="N667" i="4" s="1"/>
  <c r="I667" i="4"/>
  <c r="C667" i="4"/>
  <c r="B667" i="4"/>
  <c r="O666" i="4"/>
  <c r="M666" i="4"/>
  <c r="L666" i="4"/>
  <c r="K666" i="4"/>
  <c r="J666" i="4"/>
  <c r="N666" i="4" s="1"/>
  <c r="I666" i="4"/>
  <c r="C666" i="4"/>
  <c r="B666" i="4"/>
  <c r="O665" i="4"/>
  <c r="N665" i="4"/>
  <c r="M665" i="4"/>
  <c r="L665" i="4"/>
  <c r="K665" i="4"/>
  <c r="J665" i="4"/>
  <c r="I665" i="4"/>
  <c r="C665" i="4"/>
  <c r="B665" i="4"/>
  <c r="P664" i="4"/>
  <c r="O664" i="4"/>
  <c r="N664" i="4"/>
  <c r="M664" i="4"/>
  <c r="L664" i="4"/>
  <c r="J664" i="4"/>
  <c r="I664" i="4"/>
  <c r="P659" i="4" s="1"/>
  <c r="C664" i="4"/>
  <c r="B664" i="4"/>
  <c r="O663" i="4"/>
  <c r="N663" i="4"/>
  <c r="M663" i="4"/>
  <c r="L663" i="4"/>
  <c r="K663" i="4"/>
  <c r="J663" i="4"/>
  <c r="I663" i="4"/>
  <c r="P663" i="4" s="1"/>
  <c r="C663" i="4"/>
  <c r="B663" i="4"/>
  <c r="O662" i="4"/>
  <c r="N662" i="4"/>
  <c r="M662" i="4"/>
  <c r="L662" i="4"/>
  <c r="K662" i="4"/>
  <c r="J662" i="4"/>
  <c r="I662" i="4"/>
  <c r="C662" i="4"/>
  <c r="B662" i="4"/>
  <c r="O661" i="4"/>
  <c r="N661" i="4"/>
  <c r="M661" i="4"/>
  <c r="L661" i="4"/>
  <c r="J661" i="4"/>
  <c r="I661" i="4"/>
  <c r="C661" i="4"/>
  <c r="B661" i="4"/>
  <c r="O660" i="4"/>
  <c r="M660" i="4"/>
  <c r="L660" i="4"/>
  <c r="J660" i="4"/>
  <c r="N660" i="4" s="1"/>
  <c r="I660" i="4"/>
  <c r="C660" i="4"/>
  <c r="B660" i="4"/>
  <c r="O659" i="4"/>
  <c r="M659" i="4"/>
  <c r="L659" i="4"/>
  <c r="J659" i="4"/>
  <c r="N659" i="4" s="1"/>
  <c r="I659" i="4"/>
  <c r="C659" i="4"/>
  <c r="B659" i="4"/>
  <c r="O658" i="4"/>
  <c r="M658" i="4"/>
  <c r="L658" i="4"/>
  <c r="K658" i="4"/>
  <c r="J658" i="4"/>
  <c r="N658" i="4" s="1"/>
  <c r="I658" i="4"/>
  <c r="C658" i="4"/>
  <c r="B658" i="4"/>
  <c r="O657" i="4"/>
  <c r="N657" i="4"/>
  <c r="M657" i="4"/>
  <c r="L657" i="4"/>
  <c r="K657" i="4"/>
  <c r="J657" i="4"/>
  <c r="I657" i="4"/>
  <c r="P657" i="4" s="1"/>
  <c r="C657" i="4"/>
  <c r="B657" i="4"/>
  <c r="O656" i="4"/>
  <c r="N656" i="4"/>
  <c r="M656" i="4"/>
  <c r="L656" i="4"/>
  <c r="J656" i="4"/>
  <c r="I656" i="4"/>
  <c r="P656" i="4" s="1"/>
  <c r="C656" i="4"/>
  <c r="B656" i="4"/>
  <c r="O655" i="4"/>
  <c r="N655" i="4"/>
  <c r="M655" i="4"/>
  <c r="L655" i="4"/>
  <c r="K655" i="4"/>
  <c r="J655" i="4"/>
  <c r="I655" i="4"/>
  <c r="K654" i="4" s="1"/>
  <c r="C655" i="4"/>
  <c r="B655" i="4"/>
  <c r="O654" i="4"/>
  <c r="N654" i="4"/>
  <c r="M654" i="4"/>
  <c r="L654" i="4"/>
  <c r="J654" i="4"/>
  <c r="I654" i="4"/>
  <c r="C654" i="4"/>
  <c r="B654" i="4"/>
  <c r="O653" i="4"/>
  <c r="N653" i="4"/>
  <c r="M653" i="4"/>
  <c r="L653" i="4"/>
  <c r="J653" i="4"/>
  <c r="I653" i="4"/>
  <c r="C653" i="4"/>
  <c r="B653" i="4"/>
  <c r="O652" i="4"/>
  <c r="M652" i="4"/>
  <c r="L652" i="4"/>
  <c r="J652" i="4"/>
  <c r="N652" i="4" s="1"/>
  <c r="I652" i="4"/>
  <c r="C652" i="4"/>
  <c r="B652" i="4"/>
  <c r="P651" i="4"/>
  <c r="O651" i="4"/>
  <c r="M651" i="4"/>
  <c r="L651" i="4"/>
  <c r="J651" i="4"/>
  <c r="N651" i="4" s="1"/>
  <c r="I651" i="4"/>
  <c r="C651" i="4"/>
  <c r="B651" i="4"/>
  <c r="P650" i="4"/>
  <c r="O650" i="4"/>
  <c r="M650" i="4"/>
  <c r="L650" i="4"/>
  <c r="K650" i="4"/>
  <c r="J650" i="4"/>
  <c r="N650" i="4" s="1"/>
  <c r="I650" i="4"/>
  <c r="C650" i="4"/>
  <c r="B650" i="4"/>
  <c r="O649" i="4"/>
  <c r="M649" i="4"/>
  <c r="L649" i="4"/>
  <c r="K649" i="4"/>
  <c r="J649" i="4"/>
  <c r="N649" i="4" s="1"/>
  <c r="I649" i="4"/>
  <c r="P649" i="4" s="1"/>
  <c r="C649" i="4"/>
  <c r="B649" i="4"/>
  <c r="O648" i="4"/>
  <c r="N648" i="4"/>
  <c r="M648" i="4"/>
  <c r="L648" i="4"/>
  <c r="J648" i="4"/>
  <c r="I648" i="4"/>
  <c r="C648" i="4"/>
  <c r="B648" i="4"/>
  <c r="O647" i="4"/>
  <c r="N647" i="4"/>
  <c r="M647" i="4"/>
  <c r="L647" i="4"/>
  <c r="J647" i="4"/>
  <c r="I647" i="4"/>
  <c r="C647" i="4"/>
  <c r="B647" i="4"/>
  <c r="O646" i="4"/>
  <c r="N646" i="4"/>
  <c r="M646" i="4"/>
  <c r="L646" i="4"/>
  <c r="K646" i="4"/>
  <c r="J646" i="4"/>
  <c r="I646" i="4"/>
  <c r="C646" i="4"/>
  <c r="B646" i="4"/>
  <c r="O645" i="4"/>
  <c r="M645" i="4"/>
  <c r="L645" i="4"/>
  <c r="J645" i="4"/>
  <c r="N645" i="4" s="1"/>
  <c r="I645" i="4"/>
  <c r="C645" i="4"/>
  <c r="B645" i="4"/>
  <c r="O644" i="4"/>
  <c r="M644" i="4"/>
  <c r="L644" i="4"/>
  <c r="J644" i="4"/>
  <c r="N644" i="4" s="1"/>
  <c r="I644" i="4"/>
  <c r="C644" i="4"/>
  <c r="B644" i="4"/>
  <c r="O643" i="4"/>
  <c r="M643" i="4"/>
  <c r="L643" i="4"/>
  <c r="J643" i="4"/>
  <c r="N643" i="4" s="1"/>
  <c r="I643" i="4"/>
  <c r="C643" i="4"/>
  <c r="B643" i="4"/>
  <c r="O642" i="4"/>
  <c r="M642" i="4"/>
  <c r="L642" i="4"/>
  <c r="K642" i="4"/>
  <c r="J642" i="4"/>
  <c r="N642" i="4" s="1"/>
  <c r="I642" i="4"/>
  <c r="C642" i="4"/>
  <c r="B642" i="4"/>
  <c r="O641" i="4"/>
  <c r="M641" i="4"/>
  <c r="L641" i="4"/>
  <c r="K641" i="4"/>
  <c r="J641" i="4"/>
  <c r="N641" i="4" s="1"/>
  <c r="I641" i="4"/>
  <c r="C641" i="4"/>
  <c r="B641" i="4"/>
  <c r="O640" i="4"/>
  <c r="N640" i="4"/>
  <c r="M640" i="4"/>
  <c r="L640" i="4"/>
  <c r="J640" i="4"/>
  <c r="I640" i="4"/>
  <c r="C640" i="4"/>
  <c r="B640" i="4"/>
  <c r="O639" i="4"/>
  <c r="N639" i="4"/>
  <c r="M639" i="4"/>
  <c r="L639" i="4"/>
  <c r="J639" i="4"/>
  <c r="I639" i="4"/>
  <c r="K639" i="4" s="1"/>
  <c r="C639" i="4"/>
  <c r="B639" i="4"/>
  <c r="O638" i="4"/>
  <c r="N638" i="4"/>
  <c r="M638" i="4"/>
  <c r="L638" i="4"/>
  <c r="J638" i="4"/>
  <c r="I638" i="4"/>
  <c r="C638" i="4"/>
  <c r="B638" i="4"/>
  <c r="O637" i="4"/>
  <c r="M637" i="4"/>
  <c r="L637" i="4"/>
  <c r="J637" i="4"/>
  <c r="N637" i="4" s="1"/>
  <c r="I637" i="4"/>
  <c r="C637" i="4"/>
  <c r="B637" i="4"/>
  <c r="O636" i="4"/>
  <c r="M636" i="4"/>
  <c r="L636" i="4"/>
  <c r="J636" i="4"/>
  <c r="N636" i="4" s="1"/>
  <c r="I636" i="4"/>
  <c r="C636" i="4"/>
  <c r="B636" i="4"/>
  <c r="O635" i="4"/>
  <c r="M635" i="4"/>
  <c r="L635" i="4"/>
  <c r="J635" i="4"/>
  <c r="N635" i="4" s="1"/>
  <c r="I635" i="4"/>
  <c r="C635" i="4"/>
  <c r="B635" i="4"/>
  <c r="O634" i="4"/>
  <c r="M634" i="4"/>
  <c r="L634" i="4"/>
  <c r="K634" i="4"/>
  <c r="J634" i="4"/>
  <c r="N634" i="4" s="1"/>
  <c r="I634" i="4"/>
  <c r="C634" i="4"/>
  <c r="B634" i="4"/>
  <c r="O633" i="4"/>
  <c r="M633" i="4"/>
  <c r="L633" i="4"/>
  <c r="K633" i="4"/>
  <c r="J633" i="4"/>
  <c r="N633" i="4" s="1"/>
  <c r="I633" i="4"/>
  <c r="P633" i="4" s="1"/>
  <c r="C633" i="4"/>
  <c r="B633" i="4"/>
  <c r="O632" i="4"/>
  <c r="N632" i="4"/>
  <c r="M632" i="4"/>
  <c r="L632" i="4"/>
  <c r="J632" i="4"/>
  <c r="I632" i="4"/>
  <c r="C632" i="4"/>
  <c r="B632" i="4"/>
  <c r="O631" i="4"/>
  <c r="N631" i="4"/>
  <c r="M631" i="4"/>
  <c r="L631" i="4"/>
  <c r="J631" i="4"/>
  <c r="I631" i="4"/>
  <c r="C631" i="4"/>
  <c r="B631" i="4"/>
  <c r="O630" i="4"/>
  <c r="N630" i="4"/>
  <c r="M630" i="4"/>
  <c r="L630" i="4"/>
  <c r="J630" i="4"/>
  <c r="I630" i="4"/>
  <c r="P630" i="4" s="1"/>
  <c r="C630" i="4"/>
  <c r="B630" i="4"/>
  <c r="O629" i="4"/>
  <c r="M629" i="4"/>
  <c r="L629" i="4"/>
  <c r="J629" i="4"/>
  <c r="N629" i="4" s="1"/>
  <c r="I629" i="4"/>
  <c r="C629" i="4"/>
  <c r="B629" i="4"/>
  <c r="O628" i="4"/>
  <c r="M628" i="4"/>
  <c r="L628" i="4"/>
  <c r="J628" i="4"/>
  <c r="N628" i="4" s="1"/>
  <c r="I628" i="4"/>
  <c r="C628" i="4"/>
  <c r="B628" i="4"/>
  <c r="O627" i="4"/>
  <c r="M627" i="4"/>
  <c r="L627" i="4"/>
  <c r="J627" i="4"/>
  <c r="N627" i="4" s="1"/>
  <c r="I627" i="4"/>
  <c r="C627" i="4"/>
  <c r="B627" i="4"/>
  <c r="O626" i="4"/>
  <c r="M626" i="4"/>
  <c r="L626" i="4"/>
  <c r="K626" i="4"/>
  <c r="J626" i="4"/>
  <c r="N626" i="4" s="1"/>
  <c r="I626" i="4"/>
  <c r="C626" i="4"/>
  <c r="B626" i="4"/>
  <c r="O625" i="4"/>
  <c r="M625" i="4"/>
  <c r="L625" i="4"/>
  <c r="K625" i="4"/>
  <c r="J625" i="4"/>
  <c r="N625" i="4" s="1"/>
  <c r="I625" i="4"/>
  <c r="C625" i="4"/>
  <c r="B625" i="4"/>
  <c r="O624" i="4"/>
  <c r="N624" i="4"/>
  <c r="M624" i="4"/>
  <c r="L624" i="4"/>
  <c r="J624" i="4"/>
  <c r="I624" i="4"/>
  <c r="C624" i="4"/>
  <c r="B624" i="4"/>
  <c r="O623" i="4"/>
  <c r="N623" i="4"/>
  <c r="M623" i="4"/>
  <c r="L623" i="4"/>
  <c r="J623" i="4"/>
  <c r="I623" i="4"/>
  <c r="C623" i="4"/>
  <c r="B623" i="4"/>
  <c r="O622" i="4"/>
  <c r="N622" i="4"/>
  <c r="M622" i="4"/>
  <c r="L622" i="4"/>
  <c r="J622" i="4"/>
  <c r="I622" i="4"/>
  <c r="P622" i="4" s="1"/>
  <c r="C622" i="4"/>
  <c r="B622" i="4"/>
  <c r="O621" i="4"/>
  <c r="M621" i="4"/>
  <c r="L621" i="4"/>
  <c r="J621" i="4"/>
  <c r="N621" i="4" s="1"/>
  <c r="I621" i="4"/>
  <c r="C621" i="4"/>
  <c r="B621" i="4"/>
  <c r="O620" i="4"/>
  <c r="M620" i="4"/>
  <c r="L620" i="4"/>
  <c r="J620" i="4"/>
  <c r="N620" i="4" s="1"/>
  <c r="I620" i="4"/>
  <c r="C620" i="4"/>
  <c r="B620" i="4"/>
  <c r="O619" i="4"/>
  <c r="M619" i="4"/>
  <c r="L619" i="4"/>
  <c r="J619" i="4"/>
  <c r="N619" i="4" s="1"/>
  <c r="I619" i="4"/>
  <c r="C619" i="4"/>
  <c r="B619" i="4"/>
  <c r="O618" i="4"/>
  <c r="M618" i="4"/>
  <c r="L618" i="4"/>
  <c r="K618" i="4"/>
  <c r="J618" i="4"/>
  <c r="N618" i="4" s="1"/>
  <c r="I618" i="4"/>
  <c r="C618" i="4"/>
  <c r="B618" i="4"/>
  <c r="O617" i="4"/>
  <c r="N617" i="4"/>
  <c r="M617" i="4"/>
  <c r="L617" i="4"/>
  <c r="K617" i="4"/>
  <c r="J617" i="4"/>
  <c r="I617" i="4"/>
  <c r="C617" i="4"/>
  <c r="B617" i="4"/>
  <c r="O616" i="4"/>
  <c r="N616" i="4"/>
  <c r="M616" i="4"/>
  <c r="L616" i="4"/>
  <c r="J616" i="4"/>
  <c r="I616" i="4"/>
  <c r="C616" i="4"/>
  <c r="B616" i="4"/>
  <c r="O615" i="4"/>
  <c r="N615" i="4"/>
  <c r="M615" i="4"/>
  <c r="L615" i="4"/>
  <c r="K615" i="4"/>
  <c r="J615" i="4"/>
  <c r="I615" i="4"/>
  <c r="C615" i="4"/>
  <c r="B615" i="4"/>
  <c r="O614" i="4"/>
  <c r="M614" i="4"/>
  <c r="L614" i="4"/>
  <c r="K614" i="4"/>
  <c r="J614" i="4"/>
  <c r="N614" i="4" s="1"/>
  <c r="I614" i="4"/>
  <c r="C614" i="4"/>
  <c r="B614" i="4"/>
  <c r="O613" i="4"/>
  <c r="N613" i="4"/>
  <c r="M613" i="4"/>
  <c r="L613" i="4"/>
  <c r="J613" i="4"/>
  <c r="I613" i="4"/>
  <c r="C613" i="4"/>
  <c r="B613" i="4"/>
  <c r="P612" i="4"/>
  <c r="O612" i="4"/>
  <c r="M612" i="4"/>
  <c r="L612" i="4"/>
  <c r="J612" i="4"/>
  <c r="N612" i="4" s="1"/>
  <c r="I612" i="4"/>
  <c r="K611" i="4" s="1"/>
  <c r="C612" i="4"/>
  <c r="B612" i="4"/>
  <c r="P611" i="4"/>
  <c r="O611" i="4"/>
  <c r="M611" i="4"/>
  <c r="L611" i="4"/>
  <c r="J611" i="4"/>
  <c r="N611" i="4" s="1"/>
  <c r="I611" i="4"/>
  <c r="C611" i="4"/>
  <c r="B611" i="4"/>
  <c r="P610" i="4"/>
  <c r="O610" i="4"/>
  <c r="N610" i="4"/>
  <c r="M610" i="4"/>
  <c r="L610" i="4"/>
  <c r="K610" i="4"/>
  <c r="J610" i="4"/>
  <c r="I610" i="4"/>
  <c r="C610" i="4"/>
  <c r="B610" i="4"/>
  <c r="O609" i="4"/>
  <c r="M609" i="4"/>
  <c r="L609" i="4"/>
  <c r="J609" i="4"/>
  <c r="N609" i="4" s="1"/>
  <c r="I609" i="4"/>
  <c r="C609" i="4"/>
  <c r="B609" i="4"/>
  <c r="O608" i="4"/>
  <c r="N608" i="4"/>
  <c r="M608" i="4"/>
  <c r="L608" i="4"/>
  <c r="J608" i="4"/>
  <c r="I608" i="4"/>
  <c r="C608" i="4"/>
  <c r="B608" i="4"/>
  <c r="O607" i="4"/>
  <c r="N607" i="4"/>
  <c r="M607" i="4"/>
  <c r="L607" i="4"/>
  <c r="J607" i="4"/>
  <c r="I607" i="4"/>
  <c r="K607" i="4" s="1"/>
  <c r="C607" i="4"/>
  <c r="B607" i="4"/>
  <c r="O606" i="4"/>
  <c r="N606" i="4"/>
  <c r="M606" i="4"/>
  <c r="L606" i="4"/>
  <c r="J606" i="4"/>
  <c r="I606" i="4"/>
  <c r="P606" i="4" s="1"/>
  <c r="C606" i="4"/>
  <c r="B606" i="4"/>
  <c r="O605" i="4"/>
  <c r="M605" i="4"/>
  <c r="L605" i="4"/>
  <c r="J605" i="4"/>
  <c r="N605" i="4" s="1"/>
  <c r="I605" i="4"/>
  <c r="C605" i="4"/>
  <c r="B605" i="4"/>
  <c r="O604" i="4"/>
  <c r="M604" i="4"/>
  <c r="L604" i="4"/>
  <c r="J604" i="4"/>
  <c r="N604" i="4" s="1"/>
  <c r="I604" i="4"/>
  <c r="C604" i="4"/>
  <c r="B604" i="4"/>
  <c r="O603" i="4"/>
  <c r="M603" i="4"/>
  <c r="L603" i="4"/>
  <c r="J603" i="4"/>
  <c r="N603" i="4" s="1"/>
  <c r="I603" i="4"/>
  <c r="C603" i="4"/>
  <c r="B603" i="4"/>
  <c r="O602" i="4"/>
  <c r="N602" i="4"/>
  <c r="M602" i="4"/>
  <c r="L602" i="4"/>
  <c r="K602" i="4"/>
  <c r="J602" i="4"/>
  <c r="I602" i="4"/>
  <c r="C602" i="4"/>
  <c r="B602" i="4"/>
  <c r="O601" i="4"/>
  <c r="N601" i="4"/>
  <c r="M601" i="4"/>
  <c r="L601" i="4"/>
  <c r="J601" i="4"/>
  <c r="I601" i="4"/>
  <c r="K601" i="4" s="1"/>
  <c r="C601" i="4"/>
  <c r="B601" i="4"/>
  <c r="O600" i="4"/>
  <c r="N600" i="4"/>
  <c r="M600" i="4"/>
  <c r="L600" i="4"/>
  <c r="K600" i="4"/>
  <c r="J600" i="4"/>
  <c r="I600" i="4"/>
  <c r="C600" i="4"/>
  <c r="B600" i="4"/>
  <c r="O599" i="4"/>
  <c r="N599" i="4"/>
  <c r="M599" i="4"/>
  <c r="L599" i="4"/>
  <c r="J599" i="4"/>
  <c r="I599" i="4"/>
  <c r="C599" i="4"/>
  <c r="B599" i="4"/>
  <c r="O598" i="4"/>
  <c r="N598" i="4"/>
  <c r="M598" i="4"/>
  <c r="L598" i="4"/>
  <c r="J598" i="4"/>
  <c r="I598" i="4"/>
  <c r="C598" i="4"/>
  <c r="B598" i="4"/>
  <c r="O597" i="4"/>
  <c r="M597" i="4"/>
  <c r="L597" i="4"/>
  <c r="J597" i="4"/>
  <c r="N597" i="4" s="1"/>
  <c r="I597" i="4"/>
  <c r="C597" i="4"/>
  <c r="B597" i="4"/>
  <c r="O596" i="4"/>
  <c r="M596" i="4"/>
  <c r="L596" i="4"/>
  <c r="J596" i="4"/>
  <c r="N596" i="4" s="1"/>
  <c r="I596" i="4"/>
  <c r="C596" i="4"/>
  <c r="B596" i="4"/>
  <c r="O595" i="4"/>
  <c r="M595" i="4"/>
  <c r="L595" i="4"/>
  <c r="K595" i="4"/>
  <c r="J595" i="4"/>
  <c r="N595" i="4" s="1"/>
  <c r="I595" i="4"/>
  <c r="C595" i="4"/>
  <c r="B595" i="4"/>
  <c r="O594" i="4"/>
  <c r="N594" i="4"/>
  <c r="M594" i="4"/>
  <c r="L594" i="4"/>
  <c r="K594" i="4"/>
  <c r="J594" i="4"/>
  <c r="I594" i="4"/>
  <c r="C594" i="4"/>
  <c r="B594" i="4"/>
  <c r="O593" i="4"/>
  <c r="N593" i="4"/>
  <c r="M593" i="4"/>
  <c r="L593" i="4"/>
  <c r="J593" i="4"/>
  <c r="I593" i="4"/>
  <c r="K593" i="4" s="1"/>
  <c r="C593" i="4"/>
  <c r="B593" i="4"/>
  <c r="O592" i="4"/>
  <c r="N592" i="4"/>
  <c r="M592" i="4"/>
  <c r="L592" i="4"/>
  <c r="K592" i="4"/>
  <c r="J592" i="4"/>
  <c r="I592" i="4"/>
  <c r="C592" i="4"/>
  <c r="B592" i="4"/>
  <c r="O591" i="4"/>
  <c r="N591" i="4"/>
  <c r="M591" i="4"/>
  <c r="L591" i="4"/>
  <c r="J591" i="4"/>
  <c r="I591" i="4"/>
  <c r="C591" i="4"/>
  <c r="B591" i="4"/>
  <c r="O590" i="4"/>
  <c r="N590" i="4"/>
  <c r="M590" i="4"/>
  <c r="L590" i="4"/>
  <c r="J590" i="4"/>
  <c r="I590" i="4"/>
  <c r="C590" i="4"/>
  <c r="B590" i="4"/>
  <c r="O589" i="4"/>
  <c r="M589" i="4"/>
  <c r="L589" i="4"/>
  <c r="J589" i="4"/>
  <c r="N589" i="4" s="1"/>
  <c r="I589" i="4"/>
  <c r="C589" i="4"/>
  <c r="B589" i="4"/>
  <c r="O588" i="4"/>
  <c r="M588" i="4"/>
  <c r="L588" i="4"/>
  <c r="J588" i="4"/>
  <c r="N588" i="4" s="1"/>
  <c r="I588" i="4"/>
  <c r="C588" i="4"/>
  <c r="B588" i="4"/>
  <c r="O587" i="4"/>
  <c r="M587" i="4"/>
  <c r="L587" i="4"/>
  <c r="K587" i="4"/>
  <c r="J587" i="4"/>
  <c r="N587" i="4" s="1"/>
  <c r="I587" i="4"/>
  <c r="C587" i="4"/>
  <c r="B587" i="4"/>
  <c r="O586" i="4"/>
  <c r="N586" i="4"/>
  <c r="M586" i="4"/>
  <c r="L586" i="4"/>
  <c r="K586" i="4"/>
  <c r="J586" i="4"/>
  <c r="I586" i="4"/>
  <c r="C586" i="4"/>
  <c r="B586" i="4"/>
  <c r="O585" i="4"/>
  <c r="N585" i="4"/>
  <c r="M585" i="4"/>
  <c r="L585" i="4"/>
  <c r="J585" i="4"/>
  <c r="I585" i="4"/>
  <c r="K585" i="4" s="1"/>
  <c r="C585" i="4"/>
  <c r="B585" i="4"/>
  <c r="O584" i="4"/>
  <c r="N584" i="4"/>
  <c r="M584" i="4"/>
  <c r="L584" i="4"/>
  <c r="J584" i="4"/>
  <c r="I584" i="4"/>
  <c r="C584" i="4"/>
  <c r="B584" i="4"/>
  <c r="O583" i="4"/>
  <c r="N583" i="4"/>
  <c r="M583" i="4"/>
  <c r="L583" i="4"/>
  <c r="J583" i="4"/>
  <c r="I583" i="4"/>
  <c r="C583" i="4"/>
  <c r="B583" i="4"/>
  <c r="O582" i="4"/>
  <c r="N582" i="4"/>
  <c r="M582" i="4"/>
  <c r="L582" i="4"/>
  <c r="J582" i="4"/>
  <c r="I582" i="4"/>
  <c r="C582" i="4"/>
  <c r="B582" i="4"/>
  <c r="O581" i="4"/>
  <c r="M581" i="4"/>
  <c r="L581" i="4"/>
  <c r="J581" i="4"/>
  <c r="N581" i="4" s="1"/>
  <c r="I581" i="4"/>
  <c r="C581" i="4"/>
  <c r="B581" i="4"/>
  <c r="O580" i="4"/>
  <c r="M580" i="4"/>
  <c r="L580" i="4"/>
  <c r="J580" i="4"/>
  <c r="N580" i="4" s="1"/>
  <c r="I580" i="4"/>
  <c r="C580" i="4"/>
  <c r="B580" i="4"/>
  <c r="O579" i="4"/>
  <c r="M579" i="4"/>
  <c r="L579" i="4"/>
  <c r="J579" i="4"/>
  <c r="N579" i="4" s="1"/>
  <c r="I579" i="4"/>
  <c r="C579" i="4"/>
  <c r="B579" i="4"/>
  <c r="O578" i="4"/>
  <c r="N578" i="4"/>
  <c r="M578" i="4"/>
  <c r="L578" i="4"/>
  <c r="K578" i="4"/>
  <c r="J578" i="4"/>
  <c r="I578" i="4"/>
  <c r="C578" i="4"/>
  <c r="B578" i="4"/>
  <c r="O577" i="4"/>
  <c r="N577" i="4"/>
  <c r="M577" i="4"/>
  <c r="L577" i="4"/>
  <c r="J577" i="4"/>
  <c r="I577" i="4"/>
  <c r="C577" i="4"/>
  <c r="B577" i="4"/>
  <c r="O576" i="4"/>
  <c r="N576" i="4"/>
  <c r="M576" i="4"/>
  <c r="L576" i="4"/>
  <c r="J576" i="4"/>
  <c r="I576" i="4"/>
  <c r="C576" i="4"/>
  <c r="B576" i="4"/>
  <c r="O575" i="4"/>
  <c r="N575" i="4"/>
  <c r="M575" i="4"/>
  <c r="L575" i="4"/>
  <c r="J575" i="4"/>
  <c r="I575" i="4"/>
  <c r="C575" i="4"/>
  <c r="B575" i="4"/>
  <c r="O574" i="4"/>
  <c r="N574" i="4"/>
  <c r="M574" i="4"/>
  <c r="L574" i="4"/>
  <c r="J574" i="4"/>
  <c r="I574" i="4"/>
  <c r="C574" i="4"/>
  <c r="B574" i="4"/>
  <c r="O573" i="4"/>
  <c r="M573" i="4"/>
  <c r="L573" i="4"/>
  <c r="J573" i="4"/>
  <c r="N573" i="4" s="1"/>
  <c r="I573" i="4"/>
  <c r="C573" i="4"/>
  <c r="B573" i="4"/>
  <c r="O572" i="4"/>
  <c r="M572" i="4"/>
  <c r="L572" i="4"/>
  <c r="J572" i="4"/>
  <c r="N572" i="4" s="1"/>
  <c r="I572" i="4"/>
  <c r="C572" i="4"/>
  <c r="B572" i="4"/>
  <c r="O571" i="4"/>
  <c r="M571" i="4"/>
  <c r="L571" i="4"/>
  <c r="K571" i="4"/>
  <c r="J571" i="4"/>
  <c r="N571" i="4" s="1"/>
  <c r="I571" i="4"/>
  <c r="C571" i="4"/>
  <c r="B571" i="4"/>
  <c r="O570" i="4"/>
  <c r="N570" i="4"/>
  <c r="M570" i="4"/>
  <c r="L570" i="4"/>
  <c r="K570" i="4"/>
  <c r="J570" i="4"/>
  <c r="I570" i="4"/>
  <c r="C570" i="4"/>
  <c r="B570" i="4"/>
  <c r="P569" i="4"/>
  <c r="O569" i="4"/>
  <c r="N569" i="4"/>
  <c r="M569" i="4"/>
  <c r="L569" i="4"/>
  <c r="J569" i="4"/>
  <c r="I569" i="4"/>
  <c r="K569" i="4" s="1"/>
  <c r="C569" i="4"/>
  <c r="B569" i="4"/>
  <c r="O568" i="4"/>
  <c r="N568" i="4"/>
  <c r="M568" i="4"/>
  <c r="L568" i="4"/>
  <c r="K568" i="4"/>
  <c r="J568" i="4"/>
  <c r="I568" i="4"/>
  <c r="C568" i="4"/>
  <c r="B568" i="4"/>
  <c r="O567" i="4"/>
  <c r="N567" i="4"/>
  <c r="M567" i="4"/>
  <c r="L567" i="4"/>
  <c r="J567" i="4"/>
  <c r="I567" i="4"/>
  <c r="C567" i="4"/>
  <c r="B567" i="4"/>
  <c r="O566" i="4"/>
  <c r="N566" i="4"/>
  <c r="M566" i="4"/>
  <c r="L566" i="4"/>
  <c r="J566" i="4"/>
  <c r="I566" i="4"/>
  <c r="C566" i="4"/>
  <c r="B566" i="4"/>
  <c r="O565" i="4"/>
  <c r="M565" i="4"/>
  <c r="L565" i="4"/>
  <c r="J565" i="4"/>
  <c r="N565" i="4" s="1"/>
  <c r="I565" i="4"/>
  <c r="C565" i="4"/>
  <c r="B565" i="4"/>
  <c r="O564" i="4"/>
  <c r="M564" i="4"/>
  <c r="L564" i="4"/>
  <c r="J564" i="4"/>
  <c r="N564" i="4" s="1"/>
  <c r="I564" i="4"/>
  <c r="C564" i="4"/>
  <c r="B564" i="4"/>
  <c r="O563" i="4"/>
  <c r="M563" i="4"/>
  <c r="L563" i="4"/>
  <c r="J563" i="4"/>
  <c r="N563" i="4" s="1"/>
  <c r="I563" i="4"/>
  <c r="C563" i="4"/>
  <c r="B563" i="4"/>
  <c r="O562" i="4"/>
  <c r="N562" i="4"/>
  <c r="M562" i="4"/>
  <c r="L562" i="4"/>
  <c r="K562" i="4"/>
  <c r="J562" i="4"/>
  <c r="I562" i="4"/>
  <c r="C562" i="4"/>
  <c r="B562" i="4"/>
  <c r="O561" i="4"/>
  <c r="N561" i="4"/>
  <c r="M561" i="4"/>
  <c r="L561" i="4"/>
  <c r="J561" i="4"/>
  <c r="I561" i="4"/>
  <c r="K561" i="4" s="1"/>
  <c r="C561" i="4"/>
  <c r="B561" i="4"/>
  <c r="O560" i="4"/>
  <c r="N560" i="4"/>
  <c r="M560" i="4"/>
  <c r="L560" i="4"/>
  <c r="J560" i="4"/>
  <c r="I560" i="4"/>
  <c r="C560" i="4"/>
  <c r="B560" i="4"/>
  <c r="O559" i="4"/>
  <c r="N559" i="4"/>
  <c r="M559" i="4"/>
  <c r="L559" i="4"/>
  <c r="J559" i="4"/>
  <c r="I559" i="4"/>
  <c r="C559" i="4"/>
  <c r="B559" i="4"/>
  <c r="O558" i="4"/>
  <c r="N558" i="4"/>
  <c r="M558" i="4"/>
  <c r="L558" i="4"/>
  <c r="J558" i="4"/>
  <c r="I558" i="4"/>
  <c r="C558" i="4"/>
  <c r="B558" i="4"/>
  <c r="O557" i="4"/>
  <c r="M557" i="4"/>
  <c r="L557" i="4"/>
  <c r="J557" i="4"/>
  <c r="N557" i="4" s="1"/>
  <c r="I557" i="4"/>
  <c r="C557" i="4"/>
  <c r="B557" i="4"/>
  <c r="O556" i="4"/>
  <c r="M556" i="4"/>
  <c r="L556" i="4"/>
  <c r="J556" i="4"/>
  <c r="N556" i="4" s="1"/>
  <c r="I556" i="4"/>
  <c r="C556" i="4"/>
  <c r="B556" i="4"/>
  <c r="O555" i="4"/>
  <c r="M555" i="4"/>
  <c r="L555" i="4"/>
  <c r="J555" i="4"/>
  <c r="N555" i="4" s="1"/>
  <c r="I555" i="4"/>
  <c r="C555" i="4"/>
  <c r="B555" i="4"/>
  <c r="O554" i="4"/>
  <c r="N554" i="4"/>
  <c r="M554" i="4"/>
  <c r="L554" i="4"/>
  <c r="J554" i="4"/>
  <c r="I554" i="4"/>
  <c r="C554" i="4"/>
  <c r="B554" i="4"/>
  <c r="O553" i="4"/>
  <c r="N553" i="4"/>
  <c r="M553" i="4"/>
  <c r="L553" i="4"/>
  <c r="J553" i="4"/>
  <c r="I553" i="4"/>
  <c r="C553" i="4"/>
  <c r="B553" i="4"/>
  <c r="O552" i="4"/>
  <c r="M552" i="4"/>
  <c r="L552" i="4"/>
  <c r="K552" i="4"/>
  <c r="J552" i="4"/>
  <c r="N552" i="4" s="1"/>
  <c r="I552" i="4"/>
  <c r="C552" i="4"/>
  <c r="B552" i="4"/>
  <c r="O551" i="4"/>
  <c r="N551" i="4"/>
  <c r="M551" i="4"/>
  <c r="L551" i="4"/>
  <c r="J551" i="4"/>
  <c r="I551" i="4"/>
  <c r="C551" i="4"/>
  <c r="B551" i="4"/>
  <c r="O550" i="4"/>
  <c r="M550" i="4"/>
  <c r="L550" i="4"/>
  <c r="J550" i="4"/>
  <c r="N550" i="4" s="1"/>
  <c r="I550" i="4"/>
  <c r="K550" i="4" s="1"/>
  <c r="C550" i="4"/>
  <c r="B550" i="4"/>
  <c r="O549" i="4"/>
  <c r="M549" i="4"/>
  <c r="L549" i="4"/>
  <c r="K549" i="4"/>
  <c r="J549" i="4"/>
  <c r="N549" i="4" s="1"/>
  <c r="I549" i="4"/>
  <c r="C549" i="4"/>
  <c r="B549" i="4"/>
  <c r="O548" i="4"/>
  <c r="N548" i="4"/>
  <c r="M548" i="4"/>
  <c r="L548" i="4"/>
  <c r="J548" i="4"/>
  <c r="I548" i="4"/>
  <c r="C548" i="4"/>
  <c r="B548" i="4"/>
  <c r="O547" i="4"/>
  <c r="M547" i="4"/>
  <c r="L547" i="4"/>
  <c r="J547" i="4"/>
  <c r="N547" i="4" s="1"/>
  <c r="I547" i="4"/>
  <c r="C547" i="4"/>
  <c r="B547" i="4"/>
  <c r="O546" i="4"/>
  <c r="N546" i="4"/>
  <c r="M546" i="4"/>
  <c r="L546" i="4"/>
  <c r="J546" i="4"/>
  <c r="I546" i="4"/>
  <c r="C546" i="4"/>
  <c r="B546" i="4"/>
  <c r="O545" i="4"/>
  <c r="N545" i="4"/>
  <c r="M545" i="4"/>
  <c r="L545" i="4"/>
  <c r="J545" i="4"/>
  <c r="I545" i="4"/>
  <c r="C545" i="4"/>
  <c r="B545" i="4"/>
  <c r="O544" i="4"/>
  <c r="M544" i="4"/>
  <c r="L544" i="4"/>
  <c r="K544" i="4"/>
  <c r="J544" i="4"/>
  <c r="N544" i="4" s="1"/>
  <c r="I544" i="4"/>
  <c r="C544" i="4"/>
  <c r="B544" i="4"/>
  <c r="O543" i="4"/>
  <c r="N543" i="4"/>
  <c r="M543" i="4"/>
  <c r="L543" i="4"/>
  <c r="J543" i="4"/>
  <c r="I543" i="4"/>
  <c r="C543" i="4"/>
  <c r="B543" i="4"/>
  <c r="O542" i="4"/>
  <c r="M542" i="4"/>
  <c r="L542" i="4"/>
  <c r="J542" i="4"/>
  <c r="N542" i="4" s="1"/>
  <c r="I542" i="4"/>
  <c r="K542" i="4" s="1"/>
  <c r="C542" i="4"/>
  <c r="B542" i="4"/>
  <c r="O541" i="4"/>
  <c r="M541" i="4"/>
  <c r="L541" i="4"/>
  <c r="K541" i="4"/>
  <c r="J541" i="4"/>
  <c r="N541" i="4" s="1"/>
  <c r="I541" i="4"/>
  <c r="C541" i="4"/>
  <c r="B541" i="4"/>
  <c r="O540" i="4"/>
  <c r="N540" i="4"/>
  <c r="M540" i="4"/>
  <c r="L540" i="4"/>
  <c r="J540" i="4"/>
  <c r="I540" i="4"/>
  <c r="C540" i="4"/>
  <c r="B540" i="4"/>
  <c r="P539" i="4"/>
  <c r="O539" i="4"/>
  <c r="M539" i="4"/>
  <c r="L539" i="4"/>
  <c r="J539" i="4"/>
  <c r="N539" i="4" s="1"/>
  <c r="I539" i="4"/>
  <c r="C539" i="4"/>
  <c r="B539" i="4"/>
  <c r="O538" i="4"/>
  <c r="N538" i="4"/>
  <c r="M538" i="4"/>
  <c r="L538" i="4"/>
  <c r="J538" i="4"/>
  <c r="I538" i="4"/>
  <c r="C538" i="4"/>
  <c r="B538" i="4"/>
  <c r="O537" i="4"/>
  <c r="N537" i="4"/>
  <c r="M537" i="4"/>
  <c r="L537" i="4"/>
  <c r="J537" i="4"/>
  <c r="I537" i="4"/>
  <c r="C537" i="4"/>
  <c r="B537" i="4"/>
  <c r="O536" i="4"/>
  <c r="M536" i="4"/>
  <c r="L536" i="4"/>
  <c r="K536" i="4"/>
  <c r="J536" i="4"/>
  <c r="N536" i="4" s="1"/>
  <c r="I536" i="4"/>
  <c r="C536" i="4"/>
  <c r="B536" i="4"/>
  <c r="O535" i="4"/>
  <c r="N535" i="4"/>
  <c r="M535" i="4"/>
  <c r="L535" i="4"/>
  <c r="J535" i="4"/>
  <c r="I535" i="4"/>
  <c r="C535" i="4"/>
  <c r="B535" i="4"/>
  <c r="O534" i="4"/>
  <c r="M534" i="4"/>
  <c r="L534" i="4"/>
  <c r="K534" i="4"/>
  <c r="J534" i="4"/>
  <c r="N534" i="4" s="1"/>
  <c r="I534" i="4"/>
  <c r="C534" i="4"/>
  <c r="B534" i="4"/>
  <c r="O533" i="4"/>
  <c r="N533" i="4"/>
  <c r="M533" i="4"/>
  <c r="L533" i="4"/>
  <c r="K533" i="4"/>
  <c r="J533" i="4"/>
  <c r="I533" i="4"/>
  <c r="C533" i="4"/>
  <c r="B533" i="4"/>
  <c r="P532" i="4"/>
  <c r="O532" i="4"/>
  <c r="N532" i="4"/>
  <c r="M532" i="4"/>
  <c r="L532" i="4"/>
  <c r="J532" i="4"/>
  <c r="I532" i="4"/>
  <c r="C532" i="4"/>
  <c r="B532" i="4"/>
  <c r="O531" i="4"/>
  <c r="M531" i="4"/>
  <c r="L531" i="4"/>
  <c r="J531" i="4"/>
  <c r="N531" i="4" s="1"/>
  <c r="I531" i="4"/>
  <c r="C531" i="4"/>
  <c r="B531" i="4"/>
  <c r="O530" i="4"/>
  <c r="N530" i="4"/>
  <c r="M530" i="4"/>
  <c r="L530" i="4"/>
  <c r="K530" i="4"/>
  <c r="J530" i="4"/>
  <c r="I530" i="4"/>
  <c r="C530" i="4"/>
  <c r="B530" i="4"/>
  <c r="O529" i="4"/>
  <c r="N529" i="4"/>
  <c r="M529" i="4"/>
  <c r="L529" i="4"/>
  <c r="J529" i="4"/>
  <c r="I529" i="4"/>
  <c r="K529" i="4" s="1"/>
  <c r="C529" i="4"/>
  <c r="B529" i="4"/>
  <c r="O528" i="4"/>
  <c r="M528" i="4"/>
  <c r="L528" i="4"/>
  <c r="J528" i="4"/>
  <c r="N528" i="4" s="1"/>
  <c r="I528" i="4"/>
  <c r="C528" i="4"/>
  <c r="B528" i="4"/>
  <c r="O527" i="4"/>
  <c r="N527" i="4"/>
  <c r="M527" i="4"/>
  <c r="L527" i="4"/>
  <c r="J527" i="4"/>
  <c r="I527" i="4"/>
  <c r="C527" i="4"/>
  <c r="B527" i="4"/>
  <c r="O526" i="4"/>
  <c r="M526" i="4"/>
  <c r="L526" i="4"/>
  <c r="J526" i="4"/>
  <c r="N526" i="4" s="1"/>
  <c r="I526" i="4"/>
  <c r="C526" i="4"/>
  <c r="B526" i="4"/>
  <c r="O525" i="4"/>
  <c r="M525" i="4"/>
  <c r="L525" i="4"/>
  <c r="K525" i="4"/>
  <c r="J525" i="4"/>
  <c r="N525" i="4" s="1"/>
  <c r="I525" i="4"/>
  <c r="C525" i="4"/>
  <c r="B525" i="4"/>
  <c r="O524" i="4"/>
  <c r="N524" i="4"/>
  <c r="M524" i="4"/>
  <c r="L524" i="4"/>
  <c r="J524" i="4"/>
  <c r="I524" i="4"/>
  <c r="C524" i="4"/>
  <c r="B524" i="4"/>
  <c r="P523" i="4"/>
  <c r="O523" i="4"/>
  <c r="M523" i="4"/>
  <c r="L523" i="4"/>
  <c r="J523" i="4"/>
  <c r="N523" i="4" s="1"/>
  <c r="I523" i="4"/>
  <c r="C523" i="4"/>
  <c r="B523" i="4"/>
  <c r="O522" i="4"/>
  <c r="N522" i="4"/>
  <c r="M522" i="4"/>
  <c r="L522" i="4"/>
  <c r="J522" i="4"/>
  <c r="I522" i="4"/>
  <c r="C522" i="4"/>
  <c r="B522" i="4"/>
  <c r="P521" i="4"/>
  <c r="O521" i="4"/>
  <c r="M521" i="4"/>
  <c r="L521" i="4"/>
  <c r="J521" i="4"/>
  <c r="N521" i="4" s="1"/>
  <c r="I521" i="4"/>
  <c r="K521" i="4" s="1"/>
  <c r="C521" i="4"/>
  <c r="B521" i="4"/>
  <c r="O520" i="4"/>
  <c r="M520" i="4"/>
  <c r="L520" i="4"/>
  <c r="K520" i="4"/>
  <c r="J520" i="4"/>
  <c r="N520" i="4" s="1"/>
  <c r="I520" i="4"/>
  <c r="C520" i="4"/>
  <c r="B520" i="4"/>
  <c r="O519" i="4"/>
  <c r="N519" i="4"/>
  <c r="M519" i="4"/>
  <c r="L519" i="4"/>
  <c r="J519" i="4"/>
  <c r="I519" i="4"/>
  <c r="C519" i="4"/>
  <c r="B519" i="4"/>
  <c r="O518" i="4"/>
  <c r="M518" i="4"/>
  <c r="L518" i="4"/>
  <c r="K518" i="4"/>
  <c r="J518" i="4"/>
  <c r="N518" i="4" s="1"/>
  <c r="I518" i="4"/>
  <c r="C518" i="4"/>
  <c r="B518" i="4"/>
  <c r="O517" i="4"/>
  <c r="N517" i="4"/>
  <c r="M517" i="4"/>
  <c r="L517" i="4"/>
  <c r="K517" i="4"/>
  <c r="J517" i="4"/>
  <c r="I517" i="4"/>
  <c r="C517" i="4"/>
  <c r="B517" i="4"/>
  <c r="O516" i="4"/>
  <c r="N516" i="4"/>
  <c r="M516" i="4"/>
  <c r="L516" i="4"/>
  <c r="J516" i="4"/>
  <c r="I516" i="4"/>
  <c r="C516" i="4"/>
  <c r="B516" i="4"/>
  <c r="O515" i="4"/>
  <c r="M515" i="4"/>
  <c r="L515" i="4"/>
  <c r="J515" i="4"/>
  <c r="N515" i="4" s="1"/>
  <c r="I515" i="4"/>
  <c r="C515" i="4"/>
  <c r="B515" i="4"/>
  <c r="O514" i="4"/>
  <c r="N514" i="4"/>
  <c r="M514" i="4"/>
  <c r="L514" i="4"/>
  <c r="J514" i="4"/>
  <c r="I514" i="4"/>
  <c r="C514" i="4"/>
  <c r="B514" i="4"/>
  <c r="O513" i="4"/>
  <c r="N513" i="4"/>
  <c r="M513" i="4"/>
  <c r="L513" i="4"/>
  <c r="J513" i="4"/>
  <c r="I513" i="4"/>
  <c r="K513" i="4" s="1"/>
  <c r="C513" i="4"/>
  <c r="B513" i="4"/>
  <c r="O512" i="4"/>
  <c r="M512" i="4"/>
  <c r="L512" i="4"/>
  <c r="K512" i="4"/>
  <c r="J512" i="4"/>
  <c r="N512" i="4" s="1"/>
  <c r="I512" i="4"/>
  <c r="C512" i="4"/>
  <c r="B512" i="4"/>
  <c r="O511" i="4"/>
  <c r="N511" i="4"/>
  <c r="M511" i="4"/>
  <c r="L511" i="4"/>
  <c r="K511" i="4"/>
  <c r="J511" i="4"/>
  <c r="I511" i="4"/>
  <c r="C511" i="4"/>
  <c r="B511" i="4"/>
  <c r="O510" i="4"/>
  <c r="M510" i="4"/>
  <c r="L510" i="4"/>
  <c r="J510" i="4"/>
  <c r="N510" i="4" s="1"/>
  <c r="I510" i="4"/>
  <c r="C510" i="4"/>
  <c r="B510" i="4"/>
  <c r="O509" i="4"/>
  <c r="N509" i="4"/>
  <c r="M509" i="4"/>
  <c r="L509" i="4"/>
  <c r="J509" i="4"/>
  <c r="I509" i="4"/>
  <c r="C509" i="4"/>
  <c r="B509" i="4"/>
  <c r="P508" i="4"/>
  <c r="O508" i="4"/>
  <c r="N508" i="4"/>
  <c r="M508" i="4"/>
  <c r="L508" i="4"/>
  <c r="J508" i="4"/>
  <c r="I508" i="4"/>
  <c r="C508" i="4"/>
  <c r="B508" i="4"/>
  <c r="O507" i="4"/>
  <c r="M507" i="4"/>
  <c r="L507" i="4"/>
  <c r="J507" i="4"/>
  <c r="N507" i="4" s="1"/>
  <c r="I507" i="4"/>
  <c r="C507" i="4"/>
  <c r="B507" i="4"/>
  <c r="O506" i="4"/>
  <c r="M506" i="4"/>
  <c r="L506" i="4"/>
  <c r="K506" i="4"/>
  <c r="J506" i="4"/>
  <c r="N506" i="4" s="1"/>
  <c r="I506" i="4"/>
  <c r="C506" i="4"/>
  <c r="B506" i="4"/>
  <c r="O505" i="4"/>
  <c r="M505" i="4"/>
  <c r="L505" i="4"/>
  <c r="J505" i="4"/>
  <c r="N505" i="4" s="1"/>
  <c r="I505" i="4"/>
  <c r="K505" i="4" s="1"/>
  <c r="C505" i="4"/>
  <c r="B505" i="4"/>
  <c r="O504" i="4"/>
  <c r="M504" i="4"/>
  <c r="L504" i="4"/>
  <c r="K504" i="4"/>
  <c r="J504" i="4"/>
  <c r="N504" i="4" s="1"/>
  <c r="I504" i="4"/>
  <c r="C504" i="4"/>
  <c r="B504" i="4"/>
  <c r="O503" i="4"/>
  <c r="N503" i="4"/>
  <c r="M503" i="4"/>
  <c r="L503" i="4"/>
  <c r="K503" i="4"/>
  <c r="J503" i="4"/>
  <c r="I503" i="4"/>
  <c r="C503" i="4"/>
  <c r="B503" i="4"/>
  <c r="O502" i="4"/>
  <c r="M502" i="4"/>
  <c r="L502" i="4"/>
  <c r="J502" i="4"/>
  <c r="N502" i="4" s="1"/>
  <c r="I502" i="4"/>
  <c r="C502" i="4"/>
  <c r="B502" i="4"/>
  <c r="O501" i="4"/>
  <c r="N501" i="4"/>
  <c r="M501" i="4"/>
  <c r="L501" i="4"/>
  <c r="J501" i="4"/>
  <c r="I501" i="4"/>
  <c r="C501" i="4"/>
  <c r="B501" i="4"/>
  <c r="P500" i="4"/>
  <c r="O500" i="4"/>
  <c r="N500" i="4"/>
  <c r="M500" i="4"/>
  <c r="L500" i="4"/>
  <c r="J500" i="4"/>
  <c r="I500" i="4"/>
  <c r="C500" i="4"/>
  <c r="B500" i="4"/>
  <c r="O499" i="4"/>
  <c r="M499" i="4"/>
  <c r="L499" i="4"/>
  <c r="J499" i="4"/>
  <c r="N499" i="4" s="1"/>
  <c r="I499" i="4"/>
  <c r="C499" i="4"/>
  <c r="B499" i="4"/>
  <c r="O498" i="4"/>
  <c r="M498" i="4"/>
  <c r="L498" i="4"/>
  <c r="J498" i="4"/>
  <c r="N498" i="4" s="1"/>
  <c r="I498" i="4"/>
  <c r="C498" i="4"/>
  <c r="B498" i="4"/>
  <c r="O497" i="4"/>
  <c r="M497" i="4"/>
  <c r="L497" i="4"/>
  <c r="J497" i="4"/>
  <c r="N497" i="4" s="1"/>
  <c r="I497" i="4"/>
  <c r="K497" i="4" s="1"/>
  <c r="C497" i="4"/>
  <c r="B497" i="4"/>
  <c r="O496" i="4"/>
  <c r="M496" i="4"/>
  <c r="L496" i="4"/>
  <c r="K496" i="4"/>
  <c r="J496" i="4"/>
  <c r="N496" i="4" s="1"/>
  <c r="I496" i="4"/>
  <c r="C496" i="4"/>
  <c r="B496" i="4"/>
  <c r="O495" i="4"/>
  <c r="N495" i="4"/>
  <c r="M495" i="4"/>
  <c r="L495" i="4"/>
  <c r="J495" i="4"/>
  <c r="I495" i="4"/>
  <c r="K495" i="4" s="1"/>
  <c r="C495" i="4"/>
  <c r="B495" i="4"/>
  <c r="O494" i="4"/>
  <c r="M494" i="4"/>
  <c r="L494" i="4"/>
  <c r="K494" i="4"/>
  <c r="J494" i="4"/>
  <c r="N494" i="4" s="1"/>
  <c r="I494" i="4"/>
  <c r="C494" i="4"/>
  <c r="B494" i="4"/>
  <c r="O493" i="4"/>
  <c r="N493" i="4"/>
  <c r="M493" i="4"/>
  <c r="L493" i="4"/>
  <c r="K493" i="4"/>
  <c r="J493" i="4"/>
  <c r="I493" i="4"/>
  <c r="C493" i="4"/>
  <c r="B493" i="4"/>
  <c r="P492" i="4"/>
  <c r="O492" i="4"/>
  <c r="N492" i="4"/>
  <c r="M492" i="4"/>
  <c r="L492" i="4"/>
  <c r="J492" i="4"/>
  <c r="I492" i="4"/>
  <c r="C492" i="4"/>
  <c r="B492" i="4"/>
  <c r="O491" i="4"/>
  <c r="M491" i="4"/>
  <c r="L491" i="4"/>
  <c r="K491" i="4"/>
  <c r="J491" i="4"/>
  <c r="N491" i="4" s="1"/>
  <c r="I491" i="4"/>
  <c r="C491" i="4"/>
  <c r="B491" i="4"/>
  <c r="O490" i="4"/>
  <c r="M490" i="4"/>
  <c r="L490" i="4"/>
  <c r="K490" i="4"/>
  <c r="J490" i="4"/>
  <c r="N490" i="4" s="1"/>
  <c r="I490" i="4"/>
  <c r="C490" i="4"/>
  <c r="B490" i="4"/>
  <c r="O489" i="4"/>
  <c r="N489" i="4"/>
  <c r="M489" i="4"/>
  <c r="L489" i="4"/>
  <c r="J489" i="4"/>
  <c r="I489" i="4"/>
  <c r="K489" i="4" s="1"/>
  <c r="C489" i="4"/>
  <c r="B489" i="4"/>
  <c r="O488" i="4"/>
  <c r="M488" i="4"/>
  <c r="L488" i="4"/>
  <c r="K488" i="4"/>
  <c r="J488" i="4"/>
  <c r="N488" i="4" s="1"/>
  <c r="I488" i="4"/>
  <c r="C488" i="4"/>
  <c r="B488" i="4"/>
  <c r="O487" i="4"/>
  <c r="N487" i="4"/>
  <c r="M487" i="4"/>
  <c r="L487" i="4"/>
  <c r="K487" i="4"/>
  <c r="J487" i="4"/>
  <c r="I487" i="4"/>
  <c r="C487" i="4"/>
  <c r="B487" i="4"/>
  <c r="P486" i="4"/>
  <c r="O486" i="4"/>
  <c r="N486" i="4"/>
  <c r="M486" i="4"/>
  <c r="L486" i="4"/>
  <c r="J486" i="4"/>
  <c r="I486" i="4"/>
  <c r="C486" i="4"/>
  <c r="B486" i="4"/>
  <c r="O485" i="4"/>
  <c r="M485" i="4"/>
  <c r="L485" i="4"/>
  <c r="J485" i="4"/>
  <c r="N485" i="4" s="1"/>
  <c r="I485" i="4"/>
  <c r="C485" i="4"/>
  <c r="B485" i="4"/>
  <c r="O484" i="4"/>
  <c r="N484" i="4"/>
  <c r="M484" i="4"/>
  <c r="L484" i="4"/>
  <c r="K484" i="4"/>
  <c r="J484" i="4"/>
  <c r="I484" i="4"/>
  <c r="C484" i="4"/>
  <c r="B484" i="4"/>
  <c r="O483" i="4"/>
  <c r="N483" i="4"/>
  <c r="M483" i="4"/>
  <c r="L483" i="4"/>
  <c r="J483" i="4"/>
  <c r="I483" i="4"/>
  <c r="C483" i="4"/>
  <c r="B483" i="4"/>
  <c r="O482" i="4"/>
  <c r="M482" i="4"/>
  <c r="L482" i="4"/>
  <c r="K482" i="4"/>
  <c r="J482" i="4"/>
  <c r="N482" i="4" s="1"/>
  <c r="I482" i="4"/>
  <c r="C482" i="4"/>
  <c r="B482" i="4"/>
  <c r="O481" i="4"/>
  <c r="N481" i="4"/>
  <c r="M481" i="4"/>
  <c r="L481" i="4"/>
  <c r="J481" i="4"/>
  <c r="I481" i="4"/>
  <c r="C481" i="4"/>
  <c r="B481" i="4"/>
  <c r="O480" i="4"/>
  <c r="M480" i="4"/>
  <c r="L480" i="4"/>
  <c r="J480" i="4"/>
  <c r="N480" i="4" s="1"/>
  <c r="I480" i="4"/>
  <c r="C480" i="4"/>
  <c r="B480" i="4"/>
  <c r="O479" i="4"/>
  <c r="M479" i="4"/>
  <c r="L479" i="4"/>
  <c r="K479" i="4"/>
  <c r="J479" i="4"/>
  <c r="N479" i="4" s="1"/>
  <c r="I479" i="4"/>
  <c r="C479" i="4"/>
  <c r="B479" i="4"/>
  <c r="P478" i="4"/>
  <c r="O478" i="4"/>
  <c r="N478" i="4"/>
  <c r="M478" i="4"/>
  <c r="L478" i="4"/>
  <c r="J478" i="4"/>
  <c r="I478" i="4"/>
  <c r="C478" i="4"/>
  <c r="B478" i="4"/>
  <c r="P477" i="4"/>
  <c r="O477" i="4"/>
  <c r="M477" i="4"/>
  <c r="L477" i="4"/>
  <c r="J477" i="4"/>
  <c r="N477" i="4" s="1"/>
  <c r="I477" i="4"/>
  <c r="K477" i="4" s="1"/>
  <c r="C477" i="4"/>
  <c r="B477" i="4"/>
  <c r="O476" i="4"/>
  <c r="N476" i="4"/>
  <c r="M476" i="4"/>
  <c r="L476" i="4"/>
  <c r="K476" i="4"/>
  <c r="J476" i="4"/>
  <c r="I476" i="4"/>
  <c r="P476" i="4" s="1"/>
  <c r="C476" i="4"/>
  <c r="B476" i="4"/>
  <c r="O475" i="4"/>
  <c r="N475" i="4"/>
  <c r="M475" i="4"/>
  <c r="L475" i="4"/>
  <c r="J475" i="4"/>
  <c r="I475" i="4"/>
  <c r="P475" i="4" s="1"/>
  <c r="C475" i="4"/>
  <c r="B475" i="4"/>
  <c r="O474" i="4"/>
  <c r="M474" i="4"/>
  <c r="L474" i="4"/>
  <c r="K474" i="4"/>
  <c r="J474" i="4"/>
  <c r="N474" i="4" s="1"/>
  <c r="I474" i="4"/>
  <c r="C474" i="4"/>
  <c r="B474" i="4"/>
  <c r="O473" i="4"/>
  <c r="N473" i="4"/>
  <c r="M473" i="4"/>
  <c r="L473" i="4"/>
  <c r="J473" i="4"/>
  <c r="I473" i="4"/>
  <c r="C473" i="4"/>
  <c r="B473" i="4"/>
  <c r="O472" i="4"/>
  <c r="M472" i="4"/>
  <c r="L472" i="4"/>
  <c r="J472" i="4"/>
  <c r="N472" i="4" s="1"/>
  <c r="I472" i="4"/>
  <c r="C472" i="4"/>
  <c r="B472" i="4"/>
  <c r="O471" i="4"/>
  <c r="M471" i="4"/>
  <c r="L471" i="4"/>
  <c r="K471" i="4"/>
  <c r="J471" i="4"/>
  <c r="N471" i="4" s="1"/>
  <c r="I471" i="4"/>
  <c r="C471" i="4"/>
  <c r="B471" i="4"/>
  <c r="O470" i="4"/>
  <c r="N470" i="4"/>
  <c r="M470" i="4"/>
  <c r="L470" i="4"/>
  <c r="J470" i="4"/>
  <c r="I470" i="4"/>
  <c r="C470" i="4"/>
  <c r="B470" i="4"/>
  <c r="P469" i="4"/>
  <c r="O469" i="4"/>
  <c r="M469" i="4"/>
  <c r="L469" i="4"/>
  <c r="J469" i="4"/>
  <c r="N469" i="4" s="1"/>
  <c r="I469" i="4"/>
  <c r="K469" i="4" s="1"/>
  <c r="C469" i="4"/>
  <c r="B469" i="4"/>
  <c r="O468" i="4"/>
  <c r="M468" i="4"/>
  <c r="L468" i="4"/>
  <c r="K468" i="4"/>
  <c r="J468" i="4"/>
  <c r="N468" i="4" s="1"/>
  <c r="I468" i="4"/>
  <c r="P468" i="4" s="1"/>
  <c r="C468" i="4"/>
  <c r="B468" i="4"/>
  <c r="O467" i="4"/>
  <c r="N467" i="4"/>
  <c r="M467" i="4"/>
  <c r="L467" i="4"/>
  <c r="J467" i="4"/>
  <c r="I467" i="4"/>
  <c r="P467" i="4" s="1"/>
  <c r="C467" i="4"/>
  <c r="B467" i="4"/>
  <c r="P466" i="4"/>
  <c r="O466" i="4"/>
  <c r="M466" i="4"/>
  <c r="L466" i="4"/>
  <c r="K466" i="4"/>
  <c r="J466" i="4"/>
  <c r="N466" i="4" s="1"/>
  <c r="I466" i="4"/>
  <c r="K465" i="4" s="1"/>
  <c r="C466" i="4"/>
  <c r="B466" i="4"/>
  <c r="O465" i="4"/>
  <c r="N465" i="4"/>
  <c r="M465" i="4"/>
  <c r="L465" i="4"/>
  <c r="J465" i="4"/>
  <c r="I465" i="4"/>
  <c r="C465" i="4"/>
  <c r="B465" i="4"/>
  <c r="O464" i="4"/>
  <c r="M464" i="4"/>
  <c r="L464" i="4"/>
  <c r="J464" i="4"/>
  <c r="N464" i="4" s="1"/>
  <c r="I464" i="4"/>
  <c r="C464" i="4"/>
  <c r="B464" i="4"/>
  <c r="O463" i="4"/>
  <c r="M463" i="4"/>
  <c r="L463" i="4"/>
  <c r="J463" i="4"/>
  <c r="N463" i="4" s="1"/>
  <c r="I463" i="4"/>
  <c r="P458" i="4" s="1"/>
  <c r="C463" i="4"/>
  <c r="B463" i="4"/>
  <c r="O462" i="4"/>
  <c r="N462" i="4"/>
  <c r="M462" i="4"/>
  <c r="L462" i="4"/>
  <c r="J462" i="4"/>
  <c r="I462" i="4"/>
  <c r="C462" i="4"/>
  <c r="B462" i="4"/>
  <c r="O461" i="4"/>
  <c r="M461" i="4"/>
  <c r="L461" i="4"/>
  <c r="K461" i="4"/>
  <c r="J461" i="4"/>
  <c r="N461" i="4" s="1"/>
  <c r="I461" i="4"/>
  <c r="C461" i="4"/>
  <c r="B461" i="4"/>
  <c r="O460" i="4"/>
  <c r="N460" i="4"/>
  <c r="M460" i="4"/>
  <c r="L460" i="4"/>
  <c r="K460" i="4"/>
  <c r="J460" i="4"/>
  <c r="I460" i="4"/>
  <c r="C460" i="4"/>
  <c r="B460" i="4"/>
  <c r="O459" i="4"/>
  <c r="N459" i="4"/>
  <c r="M459" i="4"/>
  <c r="L459" i="4"/>
  <c r="J459" i="4"/>
  <c r="I459" i="4"/>
  <c r="C459" i="4"/>
  <c r="B459" i="4"/>
  <c r="O458" i="4"/>
  <c r="M458" i="4"/>
  <c r="L458" i="4"/>
  <c r="K458" i="4"/>
  <c r="J458" i="4"/>
  <c r="N458" i="4" s="1"/>
  <c r="I458" i="4"/>
  <c r="C458" i="4"/>
  <c r="B458" i="4"/>
  <c r="O457" i="4"/>
  <c r="N457" i="4"/>
  <c r="M457" i="4"/>
  <c r="L457" i="4"/>
  <c r="K457" i="4"/>
  <c r="J457" i="4"/>
  <c r="I457" i="4"/>
  <c r="C457" i="4"/>
  <c r="B457" i="4"/>
  <c r="O456" i="4"/>
  <c r="M456" i="4"/>
  <c r="L456" i="4"/>
  <c r="J456" i="4"/>
  <c r="N456" i="4" s="1"/>
  <c r="I456" i="4"/>
  <c r="C456" i="4"/>
  <c r="B456" i="4"/>
  <c r="O455" i="4"/>
  <c r="M455" i="4"/>
  <c r="L455" i="4"/>
  <c r="K455" i="4"/>
  <c r="J455" i="4"/>
  <c r="N455" i="4" s="1"/>
  <c r="I455" i="4"/>
  <c r="C455" i="4"/>
  <c r="B455" i="4"/>
  <c r="O454" i="4"/>
  <c r="N454" i="4"/>
  <c r="M454" i="4"/>
  <c r="L454" i="4"/>
  <c r="J454" i="4"/>
  <c r="I454" i="4"/>
  <c r="C454" i="4"/>
  <c r="B454" i="4"/>
  <c r="O453" i="4"/>
  <c r="M453" i="4"/>
  <c r="L453" i="4"/>
  <c r="J453" i="4"/>
  <c r="N453" i="4" s="1"/>
  <c r="I453" i="4"/>
  <c r="K453" i="4" s="1"/>
  <c r="C453" i="4"/>
  <c r="B453" i="4"/>
  <c r="O452" i="4"/>
  <c r="M452" i="4"/>
  <c r="L452" i="4"/>
  <c r="K452" i="4"/>
  <c r="J452" i="4"/>
  <c r="N452" i="4" s="1"/>
  <c r="I452" i="4"/>
  <c r="C452" i="4"/>
  <c r="B452" i="4"/>
  <c r="O451" i="4"/>
  <c r="N451" i="4"/>
  <c r="M451" i="4"/>
  <c r="L451" i="4"/>
  <c r="J451" i="4"/>
  <c r="I451" i="4"/>
  <c r="P451" i="4" s="1"/>
  <c r="C451" i="4"/>
  <c r="B451" i="4"/>
  <c r="P450" i="4"/>
  <c r="O450" i="4"/>
  <c r="M450" i="4"/>
  <c r="L450" i="4"/>
  <c r="K450" i="4"/>
  <c r="J450" i="4"/>
  <c r="N450" i="4" s="1"/>
  <c r="I450" i="4"/>
  <c r="K449" i="4" s="1"/>
  <c r="C450" i="4"/>
  <c r="B450" i="4"/>
  <c r="O449" i="4"/>
  <c r="N449" i="4"/>
  <c r="M449" i="4"/>
  <c r="L449" i="4"/>
  <c r="J449" i="4"/>
  <c r="I449" i="4"/>
  <c r="C449" i="4"/>
  <c r="B449" i="4"/>
  <c r="O448" i="4"/>
  <c r="M448" i="4"/>
  <c r="L448" i="4"/>
  <c r="J448" i="4"/>
  <c r="N448" i="4" s="1"/>
  <c r="I448" i="4"/>
  <c r="C448" i="4"/>
  <c r="B448" i="4"/>
  <c r="O447" i="4"/>
  <c r="M447" i="4"/>
  <c r="L447" i="4"/>
  <c r="J447" i="4"/>
  <c r="N447" i="4" s="1"/>
  <c r="I447" i="4"/>
  <c r="C447" i="4"/>
  <c r="B447" i="4"/>
  <c r="O446" i="4"/>
  <c r="N446" i="4"/>
  <c r="M446" i="4"/>
  <c r="L446" i="4"/>
  <c r="J446" i="4"/>
  <c r="I446" i="4"/>
  <c r="C446" i="4"/>
  <c r="B446" i="4"/>
  <c r="O445" i="4"/>
  <c r="M445" i="4"/>
  <c r="L445" i="4"/>
  <c r="K445" i="4"/>
  <c r="J445" i="4"/>
  <c r="N445" i="4" s="1"/>
  <c r="I445" i="4"/>
  <c r="C445" i="4"/>
  <c r="B445" i="4"/>
  <c r="O444" i="4"/>
  <c r="N444" i="4"/>
  <c r="M444" i="4"/>
  <c r="L444" i="4"/>
  <c r="K444" i="4"/>
  <c r="J444" i="4"/>
  <c r="I444" i="4"/>
  <c r="C444" i="4"/>
  <c r="B444" i="4"/>
  <c r="O443" i="4"/>
  <c r="N443" i="4"/>
  <c r="M443" i="4"/>
  <c r="L443" i="4"/>
  <c r="J443" i="4"/>
  <c r="I443" i="4"/>
  <c r="P442" i="4" s="1"/>
  <c r="C443" i="4"/>
  <c r="B443" i="4"/>
  <c r="O442" i="4"/>
  <c r="M442" i="4"/>
  <c r="L442" i="4"/>
  <c r="J442" i="4"/>
  <c r="N442" i="4" s="1"/>
  <c r="I442" i="4"/>
  <c r="C442" i="4"/>
  <c r="B442" i="4"/>
  <c r="O441" i="4"/>
  <c r="N441" i="4"/>
  <c r="M441" i="4"/>
  <c r="L441" i="4"/>
  <c r="K441" i="4"/>
  <c r="J441" i="4"/>
  <c r="I441" i="4"/>
  <c r="C441" i="4"/>
  <c r="B441" i="4"/>
  <c r="O440" i="4"/>
  <c r="N440" i="4"/>
  <c r="M440" i="4"/>
  <c r="L440" i="4"/>
  <c r="J440" i="4"/>
  <c r="I440" i="4"/>
  <c r="C440" i="4"/>
  <c r="B440" i="4"/>
  <c r="O439" i="4"/>
  <c r="M439" i="4"/>
  <c r="L439" i="4"/>
  <c r="K439" i="4"/>
  <c r="J439" i="4"/>
  <c r="N439" i="4" s="1"/>
  <c r="I439" i="4"/>
  <c r="C439" i="4"/>
  <c r="B439" i="4"/>
  <c r="O438" i="4"/>
  <c r="N438" i="4"/>
  <c r="M438" i="4"/>
  <c r="L438" i="4"/>
  <c r="K438" i="4"/>
  <c r="J438" i="4"/>
  <c r="I438" i="4"/>
  <c r="C438" i="4"/>
  <c r="B438" i="4"/>
  <c r="O437" i="4"/>
  <c r="M437" i="4"/>
  <c r="L437" i="4"/>
  <c r="J437" i="4"/>
  <c r="N437" i="4" s="1"/>
  <c r="I437" i="4"/>
  <c r="C437" i="4"/>
  <c r="B437" i="4"/>
  <c r="O436" i="4"/>
  <c r="M436" i="4"/>
  <c r="L436" i="4"/>
  <c r="J436" i="4"/>
  <c r="N436" i="4" s="1"/>
  <c r="I436" i="4"/>
  <c r="C436" i="4"/>
  <c r="B436" i="4"/>
  <c r="O435" i="4"/>
  <c r="N435" i="4"/>
  <c r="M435" i="4"/>
  <c r="L435" i="4"/>
  <c r="J435" i="4"/>
  <c r="I435" i="4"/>
  <c r="C435" i="4"/>
  <c r="B435" i="4"/>
  <c r="O434" i="4"/>
  <c r="M434" i="4"/>
  <c r="L434" i="4"/>
  <c r="J434" i="4"/>
  <c r="N434" i="4" s="1"/>
  <c r="I434" i="4"/>
  <c r="C434" i="4"/>
  <c r="B434" i="4"/>
  <c r="O433" i="4"/>
  <c r="M433" i="4"/>
  <c r="L433" i="4"/>
  <c r="J433" i="4"/>
  <c r="N433" i="4" s="1"/>
  <c r="I433" i="4"/>
  <c r="C433" i="4"/>
  <c r="B433" i="4"/>
  <c r="O432" i="4"/>
  <c r="N432" i="4"/>
  <c r="M432" i="4"/>
  <c r="L432" i="4"/>
  <c r="J432" i="4"/>
  <c r="I432" i="4"/>
  <c r="C432" i="4"/>
  <c r="B432" i="4"/>
  <c r="O431" i="4"/>
  <c r="M431" i="4"/>
  <c r="L431" i="4"/>
  <c r="J431" i="4"/>
  <c r="N431" i="4" s="1"/>
  <c r="I431" i="4"/>
  <c r="C431" i="4"/>
  <c r="B431" i="4"/>
  <c r="O430" i="4"/>
  <c r="N430" i="4"/>
  <c r="M430" i="4"/>
  <c r="L430" i="4"/>
  <c r="K430" i="4"/>
  <c r="J430" i="4"/>
  <c r="I430" i="4"/>
  <c r="C430" i="4"/>
  <c r="B430" i="4"/>
  <c r="O429" i="4"/>
  <c r="M429" i="4"/>
  <c r="L429" i="4"/>
  <c r="J429" i="4"/>
  <c r="N429" i="4" s="1"/>
  <c r="I429" i="4"/>
  <c r="C429" i="4"/>
  <c r="B429" i="4"/>
  <c r="O428" i="4"/>
  <c r="N428" i="4"/>
  <c r="M428" i="4"/>
  <c r="L428" i="4"/>
  <c r="J428" i="4"/>
  <c r="I428" i="4"/>
  <c r="C428" i="4"/>
  <c r="B428" i="4"/>
  <c r="O427" i="4"/>
  <c r="N427" i="4"/>
  <c r="M427" i="4"/>
  <c r="L427" i="4"/>
  <c r="J427" i="4"/>
  <c r="I427" i="4"/>
  <c r="C427" i="4"/>
  <c r="B427" i="4"/>
  <c r="O426" i="4"/>
  <c r="M426" i="4"/>
  <c r="L426" i="4"/>
  <c r="J426" i="4"/>
  <c r="N426" i="4" s="1"/>
  <c r="I426" i="4"/>
  <c r="C426" i="4"/>
  <c r="B426" i="4"/>
  <c r="O425" i="4"/>
  <c r="N425" i="4"/>
  <c r="M425" i="4"/>
  <c r="L425" i="4"/>
  <c r="K425" i="4"/>
  <c r="J425" i="4"/>
  <c r="I425" i="4"/>
  <c r="C425" i="4"/>
  <c r="B425" i="4"/>
  <c r="O424" i="4"/>
  <c r="N424" i="4"/>
  <c r="M424" i="4"/>
  <c r="L424" i="4"/>
  <c r="J424" i="4"/>
  <c r="I424" i="4"/>
  <c r="C424" i="4"/>
  <c r="B424" i="4"/>
  <c r="O423" i="4"/>
  <c r="M423" i="4"/>
  <c r="L423" i="4"/>
  <c r="K423" i="4"/>
  <c r="J423" i="4"/>
  <c r="N423" i="4" s="1"/>
  <c r="I423" i="4"/>
  <c r="C423" i="4"/>
  <c r="B423" i="4"/>
  <c r="O422" i="4"/>
  <c r="M422" i="4"/>
  <c r="L422" i="4"/>
  <c r="K422" i="4"/>
  <c r="J422" i="4"/>
  <c r="N422" i="4" s="1"/>
  <c r="I422" i="4"/>
  <c r="C422" i="4"/>
  <c r="B422" i="4"/>
  <c r="O421" i="4"/>
  <c r="N421" i="4"/>
  <c r="M421" i="4"/>
  <c r="L421" i="4"/>
  <c r="J421" i="4"/>
  <c r="I421" i="4"/>
  <c r="K421" i="4" s="1"/>
  <c r="C421" i="4"/>
  <c r="B421" i="4"/>
  <c r="O420" i="4"/>
  <c r="M420" i="4"/>
  <c r="L420" i="4"/>
  <c r="J420" i="4"/>
  <c r="N420" i="4" s="1"/>
  <c r="I420" i="4"/>
  <c r="C420" i="4"/>
  <c r="B420" i="4"/>
  <c r="O419" i="4"/>
  <c r="N419" i="4"/>
  <c r="M419" i="4"/>
  <c r="L419" i="4"/>
  <c r="J419" i="4"/>
  <c r="I419" i="4"/>
  <c r="C419" i="4"/>
  <c r="B419" i="4"/>
  <c r="O418" i="4"/>
  <c r="N418" i="4"/>
  <c r="M418" i="4"/>
  <c r="L418" i="4"/>
  <c r="J418" i="4"/>
  <c r="I418" i="4"/>
  <c r="C418" i="4"/>
  <c r="B418" i="4"/>
  <c r="O417" i="4"/>
  <c r="M417" i="4"/>
  <c r="L417" i="4"/>
  <c r="J417" i="4"/>
  <c r="N417" i="4" s="1"/>
  <c r="I417" i="4"/>
  <c r="C417" i="4"/>
  <c r="B417" i="4"/>
  <c r="O416" i="4"/>
  <c r="N416" i="4"/>
  <c r="M416" i="4"/>
  <c r="L416" i="4"/>
  <c r="J416" i="4"/>
  <c r="I416" i="4"/>
  <c r="P415" i="4" s="1"/>
  <c r="C416" i="4"/>
  <c r="B416" i="4"/>
  <c r="O415" i="4"/>
  <c r="M415" i="4"/>
  <c r="L415" i="4"/>
  <c r="J415" i="4"/>
  <c r="N415" i="4" s="1"/>
  <c r="I415" i="4"/>
  <c r="C415" i="4"/>
  <c r="B415" i="4"/>
  <c r="O414" i="4"/>
  <c r="N414" i="4"/>
  <c r="M414" i="4"/>
  <c r="L414" i="4"/>
  <c r="K414" i="4"/>
  <c r="J414" i="4"/>
  <c r="I414" i="4"/>
  <c r="C414" i="4"/>
  <c r="B414" i="4"/>
  <c r="O413" i="4"/>
  <c r="M413" i="4"/>
  <c r="L413" i="4"/>
  <c r="K413" i="4"/>
  <c r="J413" i="4"/>
  <c r="N413" i="4" s="1"/>
  <c r="I413" i="4"/>
  <c r="C413" i="4"/>
  <c r="B413" i="4"/>
  <c r="O412" i="4"/>
  <c r="N412" i="4"/>
  <c r="M412" i="4"/>
  <c r="L412" i="4"/>
  <c r="K412" i="4"/>
  <c r="J412" i="4"/>
  <c r="I412" i="4"/>
  <c r="C412" i="4"/>
  <c r="B412" i="4"/>
  <c r="O411" i="4"/>
  <c r="N411" i="4"/>
  <c r="M411" i="4"/>
  <c r="L411" i="4"/>
  <c r="J411" i="4"/>
  <c r="I411" i="4"/>
  <c r="C411" i="4"/>
  <c r="B411" i="4"/>
  <c r="O410" i="4"/>
  <c r="M410" i="4"/>
  <c r="L410" i="4"/>
  <c r="K410" i="4"/>
  <c r="J410" i="4"/>
  <c r="N410" i="4" s="1"/>
  <c r="I410" i="4"/>
  <c r="C410" i="4"/>
  <c r="B410" i="4"/>
  <c r="O409" i="4"/>
  <c r="N409" i="4"/>
  <c r="M409" i="4"/>
  <c r="L409" i="4"/>
  <c r="K409" i="4"/>
  <c r="J409" i="4"/>
  <c r="I409" i="4"/>
  <c r="C409" i="4"/>
  <c r="B409" i="4"/>
  <c r="O408" i="4"/>
  <c r="N408" i="4"/>
  <c r="M408" i="4"/>
  <c r="L408" i="4"/>
  <c r="J408" i="4"/>
  <c r="I408" i="4"/>
  <c r="C408" i="4"/>
  <c r="B408" i="4"/>
  <c r="P407" i="4"/>
  <c r="O407" i="4"/>
  <c r="M407" i="4"/>
  <c r="L407" i="4"/>
  <c r="K407" i="4"/>
  <c r="J407" i="4"/>
  <c r="N407" i="4" s="1"/>
  <c r="I407" i="4"/>
  <c r="C407" i="4"/>
  <c r="B407" i="4"/>
  <c r="O406" i="4"/>
  <c r="M406" i="4"/>
  <c r="L406" i="4"/>
  <c r="K406" i="4"/>
  <c r="J406" i="4"/>
  <c r="N406" i="4" s="1"/>
  <c r="I406" i="4"/>
  <c r="C406" i="4"/>
  <c r="B406" i="4"/>
  <c r="O405" i="4"/>
  <c r="N405" i="4"/>
  <c r="M405" i="4"/>
  <c r="L405" i="4"/>
  <c r="J405" i="4"/>
  <c r="I405" i="4"/>
  <c r="K405" i="4" s="1"/>
  <c r="C405" i="4"/>
  <c r="B405" i="4"/>
  <c r="P404" i="4"/>
  <c r="O404" i="4"/>
  <c r="M404" i="4"/>
  <c r="L404" i="4"/>
  <c r="K404" i="4"/>
  <c r="J404" i="4"/>
  <c r="N404" i="4" s="1"/>
  <c r="I404" i="4"/>
  <c r="C404" i="4"/>
  <c r="B404" i="4"/>
  <c r="O403" i="4"/>
  <c r="N403" i="4"/>
  <c r="M403" i="4"/>
  <c r="L403" i="4"/>
  <c r="K403" i="4"/>
  <c r="J403" i="4"/>
  <c r="I403" i="4"/>
  <c r="C403" i="4"/>
  <c r="B403" i="4"/>
  <c r="O402" i="4"/>
  <c r="N402" i="4"/>
  <c r="M402" i="4"/>
  <c r="L402" i="4"/>
  <c r="J402" i="4"/>
  <c r="I402" i="4"/>
  <c r="C402" i="4"/>
  <c r="B402" i="4"/>
  <c r="O401" i="4"/>
  <c r="M401" i="4"/>
  <c r="L401" i="4"/>
  <c r="J401" i="4"/>
  <c r="N401" i="4" s="1"/>
  <c r="I401" i="4"/>
  <c r="C401" i="4"/>
  <c r="B401" i="4"/>
  <c r="O400" i="4"/>
  <c r="M400" i="4"/>
  <c r="L400" i="4"/>
  <c r="J400" i="4"/>
  <c r="N400" i="4" s="1"/>
  <c r="I400" i="4"/>
  <c r="C400" i="4"/>
  <c r="B400" i="4"/>
  <c r="O399" i="4"/>
  <c r="M399" i="4"/>
  <c r="L399" i="4"/>
  <c r="K399" i="4"/>
  <c r="J399" i="4"/>
  <c r="N399" i="4" s="1"/>
  <c r="I399" i="4"/>
  <c r="C399" i="4"/>
  <c r="B399" i="4"/>
  <c r="O398" i="4"/>
  <c r="N398" i="4"/>
  <c r="M398" i="4"/>
  <c r="L398" i="4"/>
  <c r="K398" i="4"/>
  <c r="J398" i="4"/>
  <c r="I398" i="4"/>
  <c r="C398" i="4"/>
  <c r="B398" i="4"/>
  <c r="O397" i="4"/>
  <c r="M397" i="4"/>
  <c r="L397" i="4"/>
  <c r="K397" i="4"/>
  <c r="J397" i="4"/>
  <c r="N397" i="4" s="1"/>
  <c r="I397" i="4"/>
  <c r="C397" i="4"/>
  <c r="B397" i="4"/>
  <c r="O396" i="4"/>
  <c r="N396" i="4"/>
  <c r="M396" i="4"/>
  <c r="L396" i="4"/>
  <c r="K396" i="4"/>
  <c r="J396" i="4"/>
  <c r="I396" i="4"/>
  <c r="C396" i="4"/>
  <c r="B396" i="4"/>
  <c r="P395" i="4"/>
  <c r="O395" i="4"/>
  <c r="N395" i="4"/>
  <c r="M395" i="4"/>
  <c r="L395" i="4"/>
  <c r="J395" i="4"/>
  <c r="I395" i="4"/>
  <c r="K395" i="4" s="1"/>
  <c r="C395" i="4"/>
  <c r="B395" i="4"/>
  <c r="O394" i="4"/>
  <c r="M394" i="4"/>
  <c r="L394" i="4"/>
  <c r="K394" i="4"/>
  <c r="J394" i="4"/>
  <c r="N394" i="4" s="1"/>
  <c r="I394" i="4"/>
  <c r="C394" i="4"/>
  <c r="B394" i="4"/>
  <c r="O393" i="4"/>
  <c r="N393" i="4"/>
  <c r="M393" i="4"/>
  <c r="L393" i="4"/>
  <c r="J393" i="4"/>
  <c r="I393" i="4"/>
  <c r="C393" i="4"/>
  <c r="B393" i="4"/>
  <c r="P392" i="4"/>
  <c r="O392" i="4"/>
  <c r="N392" i="4"/>
  <c r="M392" i="4"/>
  <c r="L392" i="4"/>
  <c r="J392" i="4"/>
  <c r="I392" i="4"/>
  <c r="C392" i="4"/>
  <c r="B392" i="4"/>
  <c r="O391" i="4"/>
  <c r="M391" i="4"/>
  <c r="L391" i="4"/>
  <c r="J391" i="4"/>
  <c r="N391" i="4" s="1"/>
  <c r="I391" i="4"/>
  <c r="C391" i="4"/>
  <c r="B391" i="4"/>
  <c r="O390" i="4"/>
  <c r="M390" i="4"/>
  <c r="L390" i="4"/>
  <c r="J390" i="4"/>
  <c r="N390" i="4" s="1"/>
  <c r="I390" i="4"/>
  <c r="C390" i="4"/>
  <c r="B390" i="4"/>
  <c r="O389" i="4"/>
  <c r="M389" i="4"/>
  <c r="L389" i="4"/>
  <c r="J389" i="4"/>
  <c r="N389" i="4" s="1"/>
  <c r="I389" i="4"/>
  <c r="K389" i="4" s="1"/>
  <c r="C389" i="4"/>
  <c r="B389" i="4"/>
  <c r="O388" i="4"/>
  <c r="M388" i="4"/>
  <c r="L388" i="4"/>
  <c r="K388" i="4"/>
  <c r="J388" i="4"/>
  <c r="N388" i="4" s="1"/>
  <c r="I388" i="4"/>
  <c r="P387" i="4" s="1"/>
  <c r="C388" i="4"/>
  <c r="B388" i="4"/>
  <c r="O387" i="4"/>
  <c r="N387" i="4"/>
  <c r="M387" i="4"/>
  <c r="L387" i="4"/>
  <c r="K387" i="4"/>
  <c r="J387" i="4"/>
  <c r="I387" i="4"/>
  <c r="C387" i="4"/>
  <c r="B387" i="4"/>
  <c r="O386" i="4"/>
  <c r="N386" i="4"/>
  <c r="M386" i="4"/>
  <c r="L386" i="4"/>
  <c r="J386" i="4"/>
  <c r="I386" i="4"/>
  <c r="P386" i="4" s="1"/>
  <c r="C386" i="4"/>
  <c r="B386" i="4"/>
  <c r="O385" i="4"/>
  <c r="M385" i="4"/>
  <c r="L385" i="4"/>
  <c r="J385" i="4"/>
  <c r="N385" i="4" s="1"/>
  <c r="I385" i="4"/>
  <c r="C385" i="4"/>
  <c r="B385" i="4"/>
  <c r="O384" i="4"/>
  <c r="M384" i="4"/>
  <c r="L384" i="4"/>
  <c r="J384" i="4"/>
  <c r="N384" i="4" s="1"/>
  <c r="I384" i="4"/>
  <c r="K383" i="4" s="1"/>
  <c r="C384" i="4"/>
  <c r="B384" i="4"/>
  <c r="O383" i="4"/>
  <c r="M383" i="4"/>
  <c r="L383" i="4"/>
  <c r="J383" i="4"/>
  <c r="N383" i="4" s="1"/>
  <c r="I383" i="4"/>
  <c r="C383" i="4"/>
  <c r="B383" i="4"/>
  <c r="O382" i="4"/>
  <c r="M382" i="4"/>
  <c r="L382" i="4"/>
  <c r="J382" i="4"/>
  <c r="N382" i="4" s="1"/>
  <c r="I382" i="4"/>
  <c r="C382" i="4"/>
  <c r="B382" i="4"/>
  <c r="P381" i="4"/>
  <c r="O381" i="4"/>
  <c r="N381" i="4"/>
  <c r="M381" i="4"/>
  <c r="L381" i="4"/>
  <c r="K381" i="4"/>
  <c r="J381" i="4"/>
  <c r="I381" i="4"/>
  <c r="C381" i="4"/>
  <c r="B381" i="4"/>
  <c r="O380" i="4"/>
  <c r="N380" i="4"/>
  <c r="M380" i="4"/>
  <c r="L380" i="4"/>
  <c r="K380" i="4"/>
  <c r="J380" i="4"/>
  <c r="I380" i="4"/>
  <c r="C380" i="4"/>
  <c r="B380" i="4"/>
  <c r="O379" i="4"/>
  <c r="M379" i="4"/>
  <c r="L379" i="4"/>
  <c r="J379" i="4"/>
  <c r="N379" i="4" s="1"/>
  <c r="I379" i="4"/>
  <c r="C379" i="4"/>
  <c r="B379" i="4"/>
  <c r="O378" i="4"/>
  <c r="N378" i="4"/>
  <c r="M378" i="4"/>
  <c r="L378" i="4"/>
  <c r="K378" i="4"/>
  <c r="J378" i="4"/>
  <c r="I378" i="4"/>
  <c r="C378" i="4"/>
  <c r="B378" i="4"/>
  <c r="O377" i="4"/>
  <c r="M377" i="4"/>
  <c r="L377" i="4"/>
  <c r="J377" i="4"/>
  <c r="N377" i="4" s="1"/>
  <c r="I377" i="4"/>
  <c r="C377" i="4"/>
  <c r="B377" i="4"/>
  <c r="O376" i="4"/>
  <c r="M376" i="4"/>
  <c r="L376" i="4"/>
  <c r="K376" i="4"/>
  <c r="J376" i="4"/>
  <c r="N376" i="4" s="1"/>
  <c r="I376" i="4"/>
  <c r="C376" i="4"/>
  <c r="B376" i="4"/>
  <c r="O375" i="4"/>
  <c r="M375" i="4"/>
  <c r="L375" i="4"/>
  <c r="J375" i="4"/>
  <c r="N375" i="4" s="1"/>
  <c r="I375" i="4"/>
  <c r="C375" i="4"/>
  <c r="B375" i="4"/>
  <c r="O374" i="4"/>
  <c r="M374" i="4"/>
  <c r="L374" i="4"/>
  <c r="J374" i="4"/>
  <c r="N374" i="4" s="1"/>
  <c r="I374" i="4"/>
  <c r="C374" i="4"/>
  <c r="B374" i="4"/>
  <c r="P373" i="4"/>
  <c r="O373" i="4"/>
  <c r="N373" i="4"/>
  <c r="M373" i="4"/>
  <c r="L373" i="4"/>
  <c r="K373" i="4"/>
  <c r="J373" i="4"/>
  <c r="I373" i="4"/>
  <c r="C373" i="4"/>
  <c r="B373" i="4"/>
  <c r="O372" i="4"/>
  <c r="N372" i="4"/>
  <c r="M372" i="4"/>
  <c r="L372" i="4"/>
  <c r="K372" i="4"/>
  <c r="J372" i="4"/>
  <c r="I372" i="4"/>
  <c r="C372" i="4"/>
  <c r="B372" i="4"/>
  <c r="O371" i="4"/>
  <c r="M371" i="4"/>
  <c r="L371" i="4"/>
  <c r="J371" i="4"/>
  <c r="N371" i="4" s="1"/>
  <c r="I371" i="4"/>
  <c r="C371" i="4"/>
  <c r="B371" i="4"/>
  <c r="O370" i="4"/>
  <c r="N370" i="4"/>
  <c r="M370" i="4"/>
  <c r="L370" i="4"/>
  <c r="K370" i="4"/>
  <c r="J370" i="4"/>
  <c r="I370" i="4"/>
  <c r="C370" i="4"/>
  <c r="B370" i="4"/>
  <c r="O369" i="4"/>
  <c r="M369" i="4"/>
  <c r="L369" i="4"/>
  <c r="J369" i="4"/>
  <c r="N369" i="4" s="1"/>
  <c r="I369" i="4"/>
  <c r="C369" i="4"/>
  <c r="B369" i="4"/>
  <c r="O368" i="4"/>
  <c r="M368" i="4"/>
  <c r="L368" i="4"/>
  <c r="K368" i="4"/>
  <c r="J368" i="4"/>
  <c r="N368" i="4" s="1"/>
  <c r="I368" i="4"/>
  <c r="C368" i="4"/>
  <c r="B368" i="4"/>
  <c r="O367" i="4"/>
  <c r="M367" i="4"/>
  <c r="L367" i="4"/>
  <c r="J367" i="4"/>
  <c r="N367" i="4" s="1"/>
  <c r="I367" i="4"/>
  <c r="C367" i="4"/>
  <c r="B367" i="4"/>
  <c r="O366" i="4"/>
  <c r="M366" i="4"/>
  <c r="L366" i="4"/>
  <c r="J366" i="4"/>
  <c r="N366" i="4" s="1"/>
  <c r="I366" i="4"/>
  <c r="C366" i="4"/>
  <c r="B366" i="4"/>
  <c r="O365" i="4"/>
  <c r="N365" i="4"/>
  <c r="M365" i="4"/>
  <c r="L365" i="4"/>
  <c r="K365" i="4"/>
  <c r="J365" i="4"/>
  <c r="I365" i="4"/>
  <c r="C365" i="4"/>
  <c r="B365" i="4"/>
  <c r="O364" i="4"/>
  <c r="N364" i="4"/>
  <c r="M364" i="4"/>
  <c r="L364" i="4"/>
  <c r="K364" i="4"/>
  <c r="J364" i="4"/>
  <c r="I364" i="4"/>
  <c r="C364" i="4"/>
  <c r="B364" i="4"/>
  <c r="O363" i="4"/>
  <c r="N363" i="4"/>
  <c r="M363" i="4"/>
  <c r="L363" i="4"/>
  <c r="J363" i="4"/>
  <c r="I363" i="4"/>
  <c r="P363" i="4" s="1"/>
  <c r="C363" i="4"/>
  <c r="B363" i="4"/>
  <c r="O362" i="4"/>
  <c r="N362" i="4"/>
  <c r="M362" i="4"/>
  <c r="L362" i="4"/>
  <c r="J362" i="4"/>
  <c r="I362" i="4"/>
  <c r="C362" i="4"/>
  <c r="B362" i="4"/>
  <c r="O361" i="4"/>
  <c r="N361" i="4"/>
  <c r="M361" i="4"/>
  <c r="L361" i="4"/>
  <c r="J361" i="4"/>
  <c r="I361" i="4"/>
  <c r="C361" i="4"/>
  <c r="B361" i="4"/>
  <c r="O360" i="4"/>
  <c r="M360" i="4"/>
  <c r="L360" i="4"/>
  <c r="J360" i="4"/>
  <c r="N360" i="4" s="1"/>
  <c r="I360" i="4"/>
  <c r="C360" i="4"/>
  <c r="B360" i="4"/>
  <c r="P359" i="4"/>
  <c r="O359" i="4"/>
  <c r="M359" i="4"/>
  <c r="L359" i="4"/>
  <c r="J359" i="4"/>
  <c r="N359" i="4" s="1"/>
  <c r="I359" i="4"/>
  <c r="C359" i="4"/>
  <c r="B359" i="4"/>
  <c r="O358" i="4"/>
  <c r="M358" i="4"/>
  <c r="L358" i="4"/>
  <c r="J358" i="4"/>
  <c r="N358" i="4" s="1"/>
  <c r="I358" i="4"/>
  <c r="C358" i="4"/>
  <c r="B358" i="4"/>
  <c r="P357" i="4"/>
  <c r="O357" i="4"/>
  <c r="N357" i="4"/>
  <c r="M357" i="4"/>
  <c r="L357" i="4"/>
  <c r="K357" i="4"/>
  <c r="J357" i="4"/>
  <c r="I357" i="4"/>
  <c r="C357" i="4"/>
  <c r="B357" i="4"/>
  <c r="O356" i="4"/>
  <c r="N356" i="4"/>
  <c r="M356" i="4"/>
  <c r="L356" i="4"/>
  <c r="J356" i="4"/>
  <c r="I356" i="4"/>
  <c r="C356" i="4"/>
  <c r="B356" i="4"/>
  <c r="O355" i="4"/>
  <c r="M355" i="4"/>
  <c r="L355" i="4"/>
  <c r="J355" i="4"/>
  <c r="N355" i="4" s="1"/>
  <c r="I355" i="4"/>
  <c r="C355" i="4"/>
  <c r="B355" i="4"/>
  <c r="O354" i="4"/>
  <c r="N354" i="4"/>
  <c r="M354" i="4"/>
  <c r="L354" i="4"/>
  <c r="K354" i="4"/>
  <c r="J354" i="4"/>
  <c r="I354" i="4"/>
  <c r="C354" i="4"/>
  <c r="B354" i="4"/>
  <c r="O353" i="4"/>
  <c r="M353" i="4"/>
  <c r="L353" i="4"/>
  <c r="J353" i="4"/>
  <c r="N353" i="4" s="1"/>
  <c r="I353" i="4"/>
  <c r="C353" i="4"/>
  <c r="B353" i="4"/>
  <c r="O352" i="4"/>
  <c r="M352" i="4"/>
  <c r="L352" i="4"/>
  <c r="K352" i="4"/>
  <c r="J352" i="4"/>
  <c r="N352" i="4" s="1"/>
  <c r="I352" i="4"/>
  <c r="C352" i="4"/>
  <c r="B352" i="4"/>
  <c r="O351" i="4"/>
  <c r="M351" i="4"/>
  <c r="L351" i="4"/>
  <c r="J351" i="4"/>
  <c r="N351" i="4" s="1"/>
  <c r="I351" i="4"/>
  <c r="C351" i="4"/>
  <c r="B351" i="4"/>
  <c r="O350" i="4"/>
  <c r="M350" i="4"/>
  <c r="L350" i="4"/>
  <c r="J350" i="4"/>
  <c r="N350" i="4" s="1"/>
  <c r="I350" i="4"/>
  <c r="C350" i="4"/>
  <c r="B350" i="4"/>
  <c r="P349" i="4"/>
  <c r="O349" i="4"/>
  <c r="M349" i="4"/>
  <c r="L349" i="4"/>
  <c r="K349" i="4"/>
  <c r="J349" i="4"/>
  <c r="N349" i="4" s="1"/>
  <c r="I349" i="4"/>
  <c r="C349" i="4"/>
  <c r="B349" i="4"/>
  <c r="O348" i="4"/>
  <c r="N348" i="4"/>
  <c r="M348" i="4"/>
  <c r="L348" i="4"/>
  <c r="K348" i="4"/>
  <c r="J348" i="4"/>
  <c r="I348" i="4"/>
  <c r="C348" i="4"/>
  <c r="B348" i="4"/>
  <c r="O347" i="4"/>
  <c r="N347" i="4"/>
  <c r="M347" i="4"/>
  <c r="L347" i="4"/>
  <c r="J347" i="4"/>
  <c r="I347" i="4"/>
  <c r="P347" i="4" s="1"/>
  <c r="C347" i="4"/>
  <c r="B347" i="4"/>
  <c r="O346" i="4"/>
  <c r="N346" i="4"/>
  <c r="M346" i="4"/>
  <c r="L346" i="4"/>
  <c r="K346" i="4"/>
  <c r="J346" i="4"/>
  <c r="I346" i="4"/>
  <c r="C346" i="4"/>
  <c r="B346" i="4"/>
  <c r="O345" i="4"/>
  <c r="M345" i="4"/>
  <c r="L345" i="4"/>
  <c r="J345" i="4"/>
  <c r="N345" i="4" s="1"/>
  <c r="I345" i="4"/>
  <c r="C345" i="4"/>
  <c r="B345" i="4"/>
  <c r="O344" i="4"/>
  <c r="M344" i="4"/>
  <c r="L344" i="4"/>
  <c r="J344" i="4"/>
  <c r="N344" i="4" s="1"/>
  <c r="I344" i="4"/>
  <c r="C344" i="4"/>
  <c r="B344" i="4"/>
  <c r="O343" i="4"/>
  <c r="M343" i="4"/>
  <c r="L343" i="4"/>
  <c r="J343" i="4"/>
  <c r="N343" i="4" s="1"/>
  <c r="I343" i="4"/>
  <c r="C343" i="4"/>
  <c r="B343" i="4"/>
  <c r="O342" i="4"/>
  <c r="M342" i="4"/>
  <c r="L342" i="4"/>
  <c r="J342" i="4"/>
  <c r="N342" i="4" s="1"/>
  <c r="I342" i="4"/>
  <c r="K341" i="4" s="1"/>
  <c r="C342" i="4"/>
  <c r="B342" i="4"/>
  <c r="O341" i="4"/>
  <c r="M341" i="4"/>
  <c r="L341" i="4"/>
  <c r="J341" i="4"/>
  <c r="N341" i="4" s="1"/>
  <c r="I341" i="4"/>
  <c r="C341" i="4"/>
  <c r="B341" i="4"/>
  <c r="O340" i="4"/>
  <c r="N340" i="4"/>
  <c r="M340" i="4"/>
  <c r="L340" i="4"/>
  <c r="J340" i="4"/>
  <c r="I340" i="4"/>
  <c r="C340" i="4"/>
  <c r="B340" i="4"/>
  <c r="P339" i="4"/>
  <c r="O339" i="4"/>
  <c r="M339" i="4"/>
  <c r="L339" i="4"/>
  <c r="J339" i="4"/>
  <c r="N339" i="4" s="1"/>
  <c r="I339" i="4"/>
  <c r="C339" i="4"/>
  <c r="B339" i="4"/>
  <c r="O338" i="4"/>
  <c r="N338" i="4"/>
  <c r="M338" i="4"/>
  <c r="L338" i="4"/>
  <c r="K338" i="4"/>
  <c r="J338" i="4"/>
  <c r="I338" i="4"/>
  <c r="C338" i="4"/>
  <c r="B338" i="4"/>
  <c r="O337" i="4"/>
  <c r="M337" i="4"/>
  <c r="L337" i="4"/>
  <c r="J337" i="4"/>
  <c r="N337" i="4" s="1"/>
  <c r="I337" i="4"/>
  <c r="C337" i="4"/>
  <c r="B337" i="4"/>
  <c r="O336" i="4"/>
  <c r="M336" i="4"/>
  <c r="L336" i="4"/>
  <c r="J336" i="4"/>
  <c r="N336" i="4" s="1"/>
  <c r="I336" i="4"/>
  <c r="C336" i="4"/>
  <c r="B336" i="4"/>
  <c r="O335" i="4"/>
  <c r="M335" i="4"/>
  <c r="L335" i="4"/>
  <c r="J335" i="4"/>
  <c r="N335" i="4" s="1"/>
  <c r="I335" i="4"/>
  <c r="C335" i="4"/>
  <c r="B335" i="4"/>
  <c r="O334" i="4"/>
  <c r="M334" i="4"/>
  <c r="L334" i="4"/>
  <c r="J334" i="4"/>
  <c r="N334" i="4" s="1"/>
  <c r="I334" i="4"/>
  <c r="C334" i="4"/>
  <c r="B334" i="4"/>
  <c r="O333" i="4"/>
  <c r="N333" i="4"/>
  <c r="M333" i="4"/>
  <c r="L333" i="4"/>
  <c r="K333" i="4"/>
  <c r="J333" i="4"/>
  <c r="I333" i="4"/>
  <c r="C333" i="4"/>
  <c r="B333" i="4"/>
  <c r="O332" i="4"/>
  <c r="N332" i="4"/>
  <c r="M332" i="4"/>
  <c r="L332" i="4"/>
  <c r="K332" i="4"/>
  <c r="J332" i="4"/>
  <c r="I332" i="4"/>
  <c r="C332" i="4"/>
  <c r="B332" i="4"/>
  <c r="O331" i="4"/>
  <c r="M331" i="4"/>
  <c r="L331" i="4"/>
  <c r="J331" i="4"/>
  <c r="N331" i="4" s="1"/>
  <c r="I331" i="4"/>
  <c r="C331" i="4"/>
  <c r="B331" i="4"/>
  <c r="O330" i="4"/>
  <c r="N330" i="4"/>
  <c r="M330" i="4"/>
  <c r="L330" i="4"/>
  <c r="J330" i="4"/>
  <c r="I330" i="4"/>
  <c r="C330" i="4"/>
  <c r="B330" i="4"/>
  <c r="O329" i="4"/>
  <c r="N329" i="4"/>
  <c r="M329" i="4"/>
  <c r="L329" i="4"/>
  <c r="J329" i="4"/>
  <c r="I329" i="4"/>
  <c r="C329" i="4"/>
  <c r="B329" i="4"/>
  <c r="O328" i="4"/>
  <c r="M328" i="4"/>
  <c r="L328" i="4"/>
  <c r="J328" i="4"/>
  <c r="N328" i="4" s="1"/>
  <c r="I328" i="4"/>
  <c r="C328" i="4"/>
  <c r="B328" i="4"/>
  <c r="O327" i="4"/>
  <c r="M327" i="4"/>
  <c r="L327" i="4"/>
  <c r="J327" i="4"/>
  <c r="N327" i="4" s="1"/>
  <c r="I327" i="4"/>
  <c r="C327" i="4"/>
  <c r="B327" i="4"/>
  <c r="O326" i="4"/>
  <c r="M326" i="4"/>
  <c r="L326" i="4"/>
  <c r="J326" i="4"/>
  <c r="N326" i="4" s="1"/>
  <c r="I326" i="4"/>
  <c r="K325" i="4" s="1"/>
  <c r="C326" i="4"/>
  <c r="B326" i="4"/>
  <c r="O325" i="4"/>
  <c r="N325" i="4"/>
  <c r="M325" i="4"/>
  <c r="L325" i="4"/>
  <c r="J325" i="4"/>
  <c r="I325" i="4"/>
  <c r="C325" i="4"/>
  <c r="B325" i="4"/>
  <c r="O324" i="4"/>
  <c r="N324" i="4"/>
  <c r="M324" i="4"/>
  <c r="L324" i="4"/>
  <c r="J324" i="4"/>
  <c r="I324" i="4"/>
  <c r="C324" i="4"/>
  <c r="B324" i="4"/>
  <c r="O323" i="4"/>
  <c r="M323" i="4"/>
  <c r="L323" i="4"/>
  <c r="J323" i="4"/>
  <c r="N323" i="4" s="1"/>
  <c r="I323" i="4"/>
  <c r="C323" i="4"/>
  <c r="B323" i="4"/>
  <c r="O322" i="4"/>
  <c r="N322" i="4"/>
  <c r="M322" i="4"/>
  <c r="L322" i="4"/>
  <c r="K322" i="4"/>
  <c r="J322" i="4"/>
  <c r="I322" i="4"/>
  <c r="C322" i="4"/>
  <c r="B322" i="4"/>
  <c r="O321" i="4"/>
  <c r="M321" i="4"/>
  <c r="L321" i="4"/>
  <c r="J321" i="4"/>
  <c r="N321" i="4" s="1"/>
  <c r="I321" i="4"/>
  <c r="C321" i="4"/>
  <c r="B321" i="4"/>
  <c r="O320" i="4"/>
  <c r="M320" i="4"/>
  <c r="L320" i="4"/>
  <c r="K320" i="4"/>
  <c r="J320" i="4"/>
  <c r="N320" i="4" s="1"/>
  <c r="I320" i="4"/>
  <c r="C320" i="4"/>
  <c r="B320" i="4"/>
  <c r="O319" i="4"/>
  <c r="M319" i="4"/>
  <c r="L319" i="4"/>
  <c r="J319" i="4"/>
  <c r="N319" i="4" s="1"/>
  <c r="I319" i="4"/>
  <c r="C319" i="4"/>
  <c r="B319" i="4"/>
  <c r="O318" i="4"/>
  <c r="M318" i="4"/>
  <c r="L318" i="4"/>
  <c r="J318" i="4"/>
  <c r="N318" i="4" s="1"/>
  <c r="I318" i="4"/>
  <c r="C318" i="4"/>
  <c r="B318" i="4"/>
  <c r="P317" i="4"/>
  <c r="O317" i="4"/>
  <c r="M317" i="4"/>
  <c r="L317" i="4"/>
  <c r="K317" i="4"/>
  <c r="J317" i="4"/>
  <c r="N317" i="4" s="1"/>
  <c r="I317" i="4"/>
  <c r="C317" i="4"/>
  <c r="B317" i="4"/>
  <c r="O316" i="4"/>
  <c r="N316" i="4"/>
  <c r="M316" i="4"/>
  <c r="L316" i="4"/>
  <c r="K316" i="4"/>
  <c r="J316" i="4"/>
  <c r="I316" i="4"/>
  <c r="C316" i="4"/>
  <c r="B316" i="4"/>
  <c r="P315" i="4"/>
  <c r="O315" i="4"/>
  <c r="N315" i="4"/>
  <c r="M315" i="4"/>
  <c r="L315" i="4"/>
  <c r="K315" i="4"/>
  <c r="J315" i="4"/>
  <c r="I315" i="4"/>
  <c r="C315" i="4"/>
  <c r="B315" i="4"/>
  <c r="O314" i="4"/>
  <c r="N314" i="4"/>
  <c r="M314" i="4"/>
  <c r="L314" i="4"/>
  <c r="K314" i="4"/>
  <c r="J314" i="4"/>
  <c r="I314" i="4"/>
  <c r="C314" i="4"/>
  <c r="B314" i="4"/>
  <c r="O313" i="4"/>
  <c r="M313" i="4"/>
  <c r="L313" i="4"/>
  <c r="J313" i="4"/>
  <c r="N313" i="4" s="1"/>
  <c r="I313" i="4"/>
  <c r="C313" i="4"/>
  <c r="B313" i="4"/>
  <c r="O312" i="4"/>
  <c r="M312" i="4"/>
  <c r="L312" i="4"/>
  <c r="J312" i="4"/>
  <c r="N312" i="4" s="1"/>
  <c r="I312" i="4"/>
  <c r="C312" i="4"/>
  <c r="B312" i="4"/>
  <c r="O311" i="4"/>
  <c r="M311" i="4"/>
  <c r="L311" i="4"/>
  <c r="J311" i="4"/>
  <c r="N311" i="4" s="1"/>
  <c r="I311" i="4"/>
  <c r="C311" i="4"/>
  <c r="B311" i="4"/>
  <c r="O310" i="4"/>
  <c r="M310" i="4"/>
  <c r="L310" i="4"/>
  <c r="K310" i="4"/>
  <c r="J310" i="4"/>
  <c r="N310" i="4" s="1"/>
  <c r="I310" i="4"/>
  <c r="C310" i="4"/>
  <c r="B310" i="4"/>
  <c r="O309" i="4"/>
  <c r="N309" i="4"/>
  <c r="M309" i="4"/>
  <c r="L309" i="4"/>
  <c r="K309" i="4"/>
  <c r="J309" i="4"/>
  <c r="I309" i="4"/>
  <c r="C309" i="4"/>
  <c r="B309" i="4"/>
  <c r="P308" i="4"/>
  <c r="O308" i="4"/>
  <c r="N308" i="4"/>
  <c r="M308" i="4"/>
  <c r="L308" i="4"/>
  <c r="J308" i="4"/>
  <c r="I308" i="4"/>
  <c r="K308" i="4" s="1"/>
  <c r="C308" i="4"/>
  <c r="B308" i="4"/>
  <c r="O307" i="4"/>
  <c r="N307" i="4"/>
  <c r="M307" i="4"/>
  <c r="L307" i="4"/>
  <c r="K307" i="4"/>
  <c r="J307" i="4"/>
  <c r="I307" i="4"/>
  <c r="C307" i="4"/>
  <c r="B307" i="4"/>
  <c r="O306" i="4"/>
  <c r="N306" i="4"/>
  <c r="M306" i="4"/>
  <c r="L306" i="4"/>
  <c r="K306" i="4"/>
  <c r="J306" i="4"/>
  <c r="I306" i="4"/>
  <c r="C306" i="4"/>
  <c r="B306" i="4"/>
  <c r="P305" i="4"/>
  <c r="O305" i="4"/>
  <c r="M305" i="4"/>
  <c r="L305" i="4"/>
  <c r="J305" i="4"/>
  <c r="N305" i="4" s="1"/>
  <c r="I305" i="4"/>
  <c r="C305" i="4"/>
  <c r="B305" i="4"/>
  <c r="O304" i="4"/>
  <c r="M304" i="4"/>
  <c r="L304" i="4"/>
  <c r="J304" i="4"/>
  <c r="N304" i="4" s="1"/>
  <c r="I304" i="4"/>
  <c r="C304" i="4"/>
  <c r="B304" i="4"/>
  <c r="O303" i="4"/>
  <c r="M303" i="4"/>
  <c r="L303" i="4"/>
  <c r="J303" i="4"/>
  <c r="N303" i="4" s="1"/>
  <c r="I303" i="4"/>
  <c r="C303" i="4"/>
  <c r="B303" i="4"/>
  <c r="O302" i="4"/>
  <c r="M302" i="4"/>
  <c r="L302" i="4"/>
  <c r="J302" i="4"/>
  <c r="N302" i="4" s="1"/>
  <c r="I302" i="4"/>
  <c r="C302" i="4"/>
  <c r="B302" i="4"/>
  <c r="O301" i="4"/>
  <c r="N301" i="4"/>
  <c r="M301" i="4"/>
  <c r="L301" i="4"/>
  <c r="K301" i="4"/>
  <c r="J301" i="4"/>
  <c r="I301" i="4"/>
  <c r="C301" i="4"/>
  <c r="B301" i="4"/>
  <c r="O300" i="4"/>
  <c r="N300" i="4"/>
  <c r="M300" i="4"/>
  <c r="L300" i="4"/>
  <c r="K300" i="4"/>
  <c r="J300" i="4"/>
  <c r="I300" i="4"/>
  <c r="C300" i="4"/>
  <c r="B300" i="4"/>
  <c r="O299" i="4"/>
  <c r="M299" i="4"/>
  <c r="L299" i="4"/>
  <c r="K299" i="4"/>
  <c r="J299" i="4"/>
  <c r="N299" i="4" s="1"/>
  <c r="I299" i="4"/>
  <c r="C299" i="4"/>
  <c r="B299" i="4"/>
  <c r="O298" i="4"/>
  <c r="N298" i="4"/>
  <c r="M298" i="4"/>
  <c r="L298" i="4"/>
  <c r="J298" i="4"/>
  <c r="I298" i="4"/>
  <c r="C298" i="4"/>
  <c r="B298" i="4"/>
  <c r="O297" i="4"/>
  <c r="M297" i="4"/>
  <c r="L297" i="4"/>
  <c r="J297" i="4"/>
  <c r="N297" i="4" s="1"/>
  <c r="I297" i="4"/>
  <c r="C297" i="4"/>
  <c r="B297" i="4"/>
  <c r="O296" i="4"/>
  <c r="M296" i="4"/>
  <c r="L296" i="4"/>
  <c r="J296" i="4"/>
  <c r="N296" i="4" s="1"/>
  <c r="I296" i="4"/>
  <c r="C296" i="4"/>
  <c r="B296" i="4"/>
  <c r="O295" i="4"/>
  <c r="N295" i="4"/>
  <c r="M295" i="4"/>
  <c r="L295" i="4"/>
  <c r="J295" i="4"/>
  <c r="I295" i="4"/>
  <c r="C295" i="4"/>
  <c r="B295" i="4"/>
  <c r="O294" i="4"/>
  <c r="M294" i="4"/>
  <c r="L294" i="4"/>
  <c r="J294" i="4"/>
  <c r="N294" i="4" s="1"/>
  <c r="I294" i="4"/>
  <c r="K294" i="4" s="1"/>
  <c r="C294" i="4"/>
  <c r="B294" i="4"/>
  <c r="O293" i="4"/>
  <c r="N293" i="4"/>
  <c r="M293" i="4"/>
  <c r="L293" i="4"/>
  <c r="K293" i="4"/>
  <c r="J293" i="4"/>
  <c r="I293" i="4"/>
  <c r="C293" i="4"/>
  <c r="B293" i="4"/>
  <c r="O292" i="4"/>
  <c r="M292" i="4"/>
  <c r="L292" i="4"/>
  <c r="J292" i="4"/>
  <c r="N292" i="4" s="1"/>
  <c r="I292" i="4"/>
  <c r="C292" i="4"/>
  <c r="B292" i="4"/>
  <c r="O291" i="4"/>
  <c r="M291" i="4"/>
  <c r="L291" i="4"/>
  <c r="J291" i="4"/>
  <c r="N291" i="4" s="1"/>
  <c r="I291" i="4"/>
  <c r="C291" i="4"/>
  <c r="B291" i="4"/>
  <c r="O290" i="4"/>
  <c r="N290" i="4"/>
  <c r="M290" i="4"/>
  <c r="L290" i="4"/>
  <c r="K290" i="4"/>
  <c r="J290" i="4"/>
  <c r="I290" i="4"/>
  <c r="C290" i="4"/>
  <c r="B290" i="4"/>
  <c r="P289" i="4"/>
  <c r="O289" i="4"/>
  <c r="M289" i="4"/>
  <c r="L289" i="4"/>
  <c r="K289" i="4"/>
  <c r="J289" i="4"/>
  <c r="N289" i="4" s="1"/>
  <c r="I289" i="4"/>
  <c r="C289" i="4"/>
  <c r="B289" i="4"/>
  <c r="O288" i="4"/>
  <c r="M288" i="4"/>
  <c r="L288" i="4"/>
  <c r="J288" i="4"/>
  <c r="N288" i="4" s="1"/>
  <c r="I288" i="4"/>
  <c r="C288" i="4"/>
  <c r="B288" i="4"/>
  <c r="O287" i="4"/>
  <c r="M287" i="4"/>
  <c r="L287" i="4"/>
  <c r="J287" i="4"/>
  <c r="N287" i="4" s="1"/>
  <c r="I287" i="4"/>
  <c r="P285" i="4" s="1"/>
  <c r="C287" i="4"/>
  <c r="B287" i="4"/>
  <c r="O286" i="4"/>
  <c r="M286" i="4"/>
  <c r="L286" i="4"/>
  <c r="K286" i="4"/>
  <c r="J286" i="4"/>
  <c r="N286" i="4" s="1"/>
  <c r="I286" i="4"/>
  <c r="C286" i="4"/>
  <c r="B286" i="4"/>
  <c r="O285" i="4"/>
  <c r="N285" i="4"/>
  <c r="M285" i="4"/>
  <c r="L285" i="4"/>
  <c r="K285" i="4"/>
  <c r="J285" i="4"/>
  <c r="I285" i="4"/>
  <c r="C285" i="4"/>
  <c r="B285" i="4"/>
  <c r="P284" i="4"/>
  <c r="O284" i="4"/>
  <c r="M284" i="4"/>
  <c r="L284" i="4"/>
  <c r="J284" i="4"/>
  <c r="N284" i="4" s="1"/>
  <c r="I284" i="4"/>
  <c r="C284" i="4"/>
  <c r="B284" i="4"/>
  <c r="O283" i="4"/>
  <c r="M283" i="4"/>
  <c r="L283" i="4"/>
  <c r="K283" i="4"/>
  <c r="J283" i="4"/>
  <c r="N283" i="4" s="1"/>
  <c r="I283" i="4"/>
  <c r="C283" i="4"/>
  <c r="B283" i="4"/>
  <c r="O282" i="4"/>
  <c r="N282" i="4"/>
  <c r="M282" i="4"/>
  <c r="L282" i="4"/>
  <c r="K282" i="4"/>
  <c r="J282" i="4"/>
  <c r="I282" i="4"/>
  <c r="C282" i="4"/>
  <c r="B282" i="4"/>
  <c r="O281" i="4"/>
  <c r="M281" i="4"/>
  <c r="L281" i="4"/>
  <c r="J281" i="4"/>
  <c r="N281" i="4" s="1"/>
  <c r="I281" i="4"/>
  <c r="P281" i="4" s="1"/>
  <c r="C281" i="4"/>
  <c r="B281" i="4"/>
  <c r="O280" i="4"/>
  <c r="M280" i="4"/>
  <c r="L280" i="4"/>
  <c r="J280" i="4"/>
  <c r="N280" i="4" s="1"/>
  <c r="I280" i="4"/>
  <c r="C280" i="4"/>
  <c r="B280" i="4"/>
  <c r="O279" i="4"/>
  <c r="N279" i="4"/>
  <c r="M279" i="4"/>
  <c r="L279" i="4"/>
  <c r="J279" i="4"/>
  <c r="I279" i="4"/>
  <c r="C279" i="4"/>
  <c r="B279" i="4"/>
  <c r="P278" i="4"/>
  <c r="O278" i="4"/>
  <c r="M278" i="4"/>
  <c r="L278" i="4"/>
  <c r="J278" i="4"/>
  <c r="N278" i="4" s="1"/>
  <c r="I278" i="4"/>
  <c r="K278" i="4" s="1"/>
  <c r="C278" i="4"/>
  <c r="B278" i="4"/>
  <c r="P277" i="4"/>
  <c r="O277" i="4"/>
  <c r="M277" i="4"/>
  <c r="L277" i="4"/>
  <c r="K277" i="4"/>
  <c r="J277" i="4"/>
  <c r="N277" i="4" s="1"/>
  <c r="I277" i="4"/>
  <c r="C277" i="4"/>
  <c r="B277" i="4"/>
  <c r="O276" i="4"/>
  <c r="M276" i="4"/>
  <c r="L276" i="4"/>
  <c r="K276" i="4"/>
  <c r="J276" i="4"/>
  <c r="N276" i="4" s="1"/>
  <c r="I276" i="4"/>
  <c r="C276" i="4"/>
  <c r="B276" i="4"/>
  <c r="O275" i="4"/>
  <c r="N275" i="4"/>
  <c r="M275" i="4"/>
  <c r="L275" i="4"/>
  <c r="J275" i="4"/>
  <c r="I275" i="4"/>
  <c r="P275" i="4" s="1"/>
  <c r="C275" i="4"/>
  <c r="B275" i="4"/>
  <c r="O274" i="4"/>
  <c r="N274" i="4"/>
  <c r="M274" i="4"/>
  <c r="L274" i="4"/>
  <c r="K274" i="4"/>
  <c r="J274" i="4"/>
  <c r="I274" i="4"/>
  <c r="C274" i="4"/>
  <c r="B274" i="4"/>
  <c r="P273" i="4"/>
  <c r="O273" i="4"/>
  <c r="M273" i="4"/>
  <c r="L273" i="4"/>
  <c r="K273" i="4"/>
  <c r="J273" i="4"/>
  <c r="N273" i="4" s="1"/>
  <c r="I273" i="4"/>
  <c r="C273" i="4"/>
  <c r="B273" i="4"/>
  <c r="O272" i="4"/>
  <c r="M272" i="4"/>
  <c r="L272" i="4"/>
  <c r="J272" i="4"/>
  <c r="N272" i="4" s="1"/>
  <c r="I272" i="4"/>
  <c r="C272" i="4"/>
  <c r="B272" i="4"/>
  <c r="O271" i="4"/>
  <c r="M271" i="4"/>
  <c r="L271" i="4"/>
  <c r="J271" i="4"/>
  <c r="N271" i="4" s="1"/>
  <c r="I271" i="4"/>
  <c r="C271" i="4"/>
  <c r="B271" i="4"/>
  <c r="O270" i="4"/>
  <c r="M270" i="4"/>
  <c r="L270" i="4"/>
  <c r="K270" i="4"/>
  <c r="J270" i="4"/>
  <c r="N270" i="4" s="1"/>
  <c r="I270" i="4"/>
  <c r="C270" i="4"/>
  <c r="B270" i="4"/>
  <c r="O269" i="4"/>
  <c r="N269" i="4"/>
  <c r="M269" i="4"/>
  <c r="L269" i="4"/>
  <c r="K269" i="4"/>
  <c r="J269" i="4"/>
  <c r="I269" i="4"/>
  <c r="C269" i="4"/>
  <c r="B269" i="4"/>
  <c r="O268" i="4"/>
  <c r="M268" i="4"/>
  <c r="L268" i="4"/>
  <c r="J268" i="4"/>
  <c r="N268" i="4" s="1"/>
  <c r="I268" i="4"/>
  <c r="K268" i="4" s="1"/>
  <c r="C268" i="4"/>
  <c r="B268" i="4"/>
  <c r="O267" i="4"/>
  <c r="N267" i="4"/>
  <c r="M267" i="4"/>
  <c r="L267" i="4"/>
  <c r="K267" i="4"/>
  <c r="J267" i="4"/>
  <c r="I267" i="4"/>
  <c r="C267" i="4"/>
  <c r="B267" i="4"/>
  <c r="P266" i="4"/>
  <c r="O266" i="4"/>
  <c r="N266" i="4"/>
  <c r="M266" i="4"/>
  <c r="L266" i="4"/>
  <c r="K266" i="4"/>
  <c r="J266" i="4"/>
  <c r="I266" i="4"/>
  <c r="C266" i="4"/>
  <c r="B266" i="4"/>
  <c r="O265" i="4"/>
  <c r="M265" i="4"/>
  <c r="L265" i="4"/>
  <c r="K265" i="4"/>
  <c r="J265" i="4"/>
  <c r="N265" i="4" s="1"/>
  <c r="I265" i="4"/>
  <c r="C265" i="4"/>
  <c r="B265" i="4"/>
  <c r="O264" i="4"/>
  <c r="N264" i="4"/>
  <c r="M264" i="4"/>
  <c r="L264" i="4"/>
  <c r="K264" i="4"/>
  <c r="J264" i="4"/>
  <c r="I264" i="4"/>
  <c r="C264" i="4"/>
  <c r="B264" i="4"/>
  <c r="O263" i="4"/>
  <c r="N263" i="4"/>
  <c r="M263" i="4"/>
  <c r="L263" i="4"/>
  <c r="J263" i="4"/>
  <c r="I263" i="4"/>
  <c r="C263" i="4"/>
  <c r="B263" i="4"/>
  <c r="P262" i="4"/>
  <c r="O262" i="4"/>
  <c r="M262" i="4"/>
  <c r="L262" i="4"/>
  <c r="J262" i="4"/>
  <c r="N262" i="4" s="1"/>
  <c r="I262" i="4"/>
  <c r="K262" i="4" s="1"/>
  <c r="C262" i="4"/>
  <c r="B262" i="4"/>
  <c r="P261" i="4"/>
  <c r="O261" i="4"/>
  <c r="M261" i="4"/>
  <c r="L261" i="4"/>
  <c r="K261" i="4"/>
  <c r="J261" i="4"/>
  <c r="N261" i="4" s="1"/>
  <c r="I261" i="4"/>
  <c r="C261" i="4"/>
  <c r="B261" i="4"/>
  <c r="O260" i="4"/>
  <c r="M260" i="4"/>
  <c r="L260" i="4"/>
  <c r="K260" i="4"/>
  <c r="J260" i="4"/>
  <c r="N260" i="4" s="1"/>
  <c r="I260" i="4"/>
  <c r="C260" i="4"/>
  <c r="B260" i="4"/>
  <c r="O259" i="4"/>
  <c r="N259" i="4"/>
  <c r="M259" i="4"/>
  <c r="L259" i="4"/>
  <c r="J259" i="4"/>
  <c r="I259" i="4"/>
  <c r="C259" i="4"/>
  <c r="B259" i="4"/>
  <c r="O258" i="4"/>
  <c r="N258" i="4"/>
  <c r="M258" i="4"/>
  <c r="L258" i="4"/>
  <c r="J258" i="4"/>
  <c r="I258" i="4"/>
  <c r="C258" i="4"/>
  <c r="B258" i="4"/>
  <c r="O257" i="4"/>
  <c r="M257" i="4"/>
  <c r="L257" i="4"/>
  <c r="J257" i="4"/>
  <c r="N257" i="4" s="1"/>
  <c r="I257" i="4"/>
  <c r="C257" i="4"/>
  <c r="B257" i="4"/>
  <c r="O256" i="4"/>
  <c r="M256" i="4"/>
  <c r="L256" i="4"/>
  <c r="J256" i="4"/>
  <c r="N256" i="4" s="1"/>
  <c r="I256" i="4"/>
  <c r="C256" i="4"/>
  <c r="B256" i="4"/>
  <c r="O255" i="4"/>
  <c r="M255" i="4"/>
  <c r="L255" i="4"/>
  <c r="J255" i="4"/>
  <c r="N255" i="4" s="1"/>
  <c r="I255" i="4"/>
  <c r="K254" i="4" s="1"/>
  <c r="C255" i="4"/>
  <c r="B255" i="4"/>
  <c r="O254" i="4"/>
  <c r="M254" i="4"/>
  <c r="L254" i="4"/>
  <c r="J254" i="4"/>
  <c r="N254" i="4" s="1"/>
  <c r="I254" i="4"/>
  <c r="C254" i="4"/>
  <c r="B254" i="4"/>
  <c r="O253" i="4"/>
  <c r="N253" i="4"/>
  <c r="M253" i="4"/>
  <c r="L253" i="4"/>
  <c r="K253" i="4"/>
  <c r="J253" i="4"/>
  <c r="I253" i="4"/>
  <c r="C253" i="4"/>
  <c r="B253" i="4"/>
  <c r="O252" i="4"/>
  <c r="N252" i="4"/>
  <c r="M252" i="4"/>
  <c r="L252" i="4"/>
  <c r="J252" i="4"/>
  <c r="I252" i="4"/>
  <c r="K252" i="4" s="1"/>
  <c r="C252" i="4"/>
  <c r="B252" i="4"/>
  <c r="O251" i="4"/>
  <c r="N251" i="4"/>
  <c r="M251" i="4"/>
  <c r="L251" i="4"/>
  <c r="J251" i="4"/>
  <c r="I251" i="4"/>
  <c r="C251" i="4"/>
  <c r="B251" i="4"/>
  <c r="P250" i="4"/>
  <c r="O250" i="4"/>
  <c r="N250" i="4"/>
  <c r="M250" i="4"/>
  <c r="L250" i="4"/>
  <c r="J250" i="4"/>
  <c r="I250" i="4"/>
  <c r="C250" i="4"/>
  <c r="B250" i="4"/>
  <c r="O249" i="4"/>
  <c r="M249" i="4"/>
  <c r="L249" i="4"/>
  <c r="K249" i="4"/>
  <c r="J249" i="4"/>
  <c r="N249" i="4" s="1"/>
  <c r="I249" i="4"/>
  <c r="C249" i="4"/>
  <c r="B249" i="4"/>
  <c r="O248" i="4"/>
  <c r="N248" i="4"/>
  <c r="M248" i="4"/>
  <c r="L248" i="4"/>
  <c r="J248" i="4"/>
  <c r="I248" i="4"/>
  <c r="C248" i="4"/>
  <c r="B248" i="4"/>
  <c r="O247" i="4"/>
  <c r="M247" i="4"/>
  <c r="L247" i="4"/>
  <c r="J247" i="4"/>
  <c r="N247" i="4" s="1"/>
  <c r="I247" i="4"/>
  <c r="C247" i="4"/>
  <c r="B247" i="4"/>
  <c r="O246" i="4"/>
  <c r="M246" i="4"/>
  <c r="L246" i="4"/>
  <c r="J246" i="4"/>
  <c r="N246" i="4" s="1"/>
  <c r="I246" i="4"/>
  <c r="P243" i="4" s="1"/>
  <c r="C246" i="4"/>
  <c r="B246" i="4"/>
  <c r="O245" i="4"/>
  <c r="M245" i="4"/>
  <c r="L245" i="4"/>
  <c r="J245" i="4"/>
  <c r="N245" i="4" s="1"/>
  <c r="I245" i="4"/>
  <c r="C245" i="4"/>
  <c r="B245" i="4"/>
  <c r="O244" i="4"/>
  <c r="N244" i="4"/>
  <c r="M244" i="4"/>
  <c r="L244" i="4"/>
  <c r="K244" i="4"/>
  <c r="J244" i="4"/>
  <c r="I244" i="4"/>
  <c r="C244" i="4"/>
  <c r="B244" i="4"/>
  <c r="O243" i="4"/>
  <c r="N243" i="4"/>
  <c r="M243" i="4"/>
  <c r="L243" i="4"/>
  <c r="J243" i="4"/>
  <c r="I243" i="4"/>
  <c r="C243" i="4"/>
  <c r="B243" i="4"/>
  <c r="P242" i="4"/>
  <c r="O242" i="4"/>
  <c r="N242" i="4"/>
  <c r="M242" i="4"/>
  <c r="L242" i="4"/>
  <c r="J242" i="4"/>
  <c r="I242" i="4"/>
  <c r="C242" i="4"/>
  <c r="B242" i="4"/>
  <c r="O241" i="4"/>
  <c r="M241" i="4"/>
  <c r="L241" i="4"/>
  <c r="K241" i="4"/>
  <c r="J241" i="4"/>
  <c r="N241" i="4" s="1"/>
  <c r="I241" i="4"/>
  <c r="C241" i="4"/>
  <c r="B241" i="4"/>
  <c r="O240" i="4"/>
  <c r="N240" i="4"/>
  <c r="M240" i="4"/>
  <c r="L240" i="4"/>
  <c r="J240" i="4"/>
  <c r="I240" i="4"/>
  <c r="C240" i="4"/>
  <c r="B240" i="4"/>
  <c r="P239" i="4"/>
  <c r="O239" i="4"/>
  <c r="M239" i="4"/>
  <c r="L239" i="4"/>
  <c r="J239" i="4"/>
  <c r="N239" i="4" s="1"/>
  <c r="I239" i="4"/>
  <c r="C239" i="4"/>
  <c r="B239" i="4"/>
  <c r="O238" i="4"/>
  <c r="M238" i="4"/>
  <c r="L238" i="4"/>
  <c r="J238" i="4"/>
  <c r="N238" i="4" s="1"/>
  <c r="I238" i="4"/>
  <c r="C238" i="4"/>
  <c r="B238" i="4"/>
  <c r="P237" i="4"/>
  <c r="O237" i="4"/>
  <c r="M237" i="4"/>
  <c r="L237" i="4"/>
  <c r="K237" i="4"/>
  <c r="J237" i="4"/>
  <c r="N237" i="4" s="1"/>
  <c r="I237" i="4"/>
  <c r="C237" i="4"/>
  <c r="B237" i="4"/>
  <c r="O236" i="4"/>
  <c r="M236" i="4"/>
  <c r="L236" i="4"/>
  <c r="K236" i="4"/>
  <c r="J236" i="4"/>
  <c r="N236" i="4" s="1"/>
  <c r="I236" i="4"/>
  <c r="C236" i="4"/>
  <c r="B236" i="4"/>
  <c r="O235" i="4"/>
  <c r="M235" i="4"/>
  <c r="L235" i="4"/>
  <c r="K235" i="4"/>
  <c r="J235" i="4"/>
  <c r="N235" i="4" s="1"/>
  <c r="I235" i="4"/>
  <c r="C235" i="4"/>
  <c r="B235" i="4"/>
  <c r="P234" i="4"/>
  <c r="O234" i="4"/>
  <c r="N234" i="4"/>
  <c r="M234" i="4"/>
  <c r="L234" i="4"/>
  <c r="J234" i="4"/>
  <c r="I234" i="4"/>
  <c r="K234" i="4" s="1"/>
  <c r="C234" i="4"/>
  <c r="B234" i="4"/>
  <c r="O233" i="4"/>
  <c r="N233" i="4"/>
  <c r="M233" i="4"/>
  <c r="L233" i="4"/>
  <c r="K233" i="4"/>
  <c r="J233" i="4"/>
  <c r="I233" i="4"/>
  <c r="C233" i="4"/>
  <c r="B233" i="4"/>
  <c r="O232" i="4"/>
  <c r="N232" i="4"/>
  <c r="M232" i="4"/>
  <c r="L232" i="4"/>
  <c r="K232" i="4"/>
  <c r="J232" i="4"/>
  <c r="I232" i="4"/>
  <c r="C232" i="4"/>
  <c r="B232" i="4"/>
  <c r="P231" i="4"/>
  <c r="O231" i="4"/>
  <c r="M231" i="4"/>
  <c r="L231" i="4"/>
  <c r="J231" i="4"/>
  <c r="N231" i="4" s="1"/>
  <c r="I231" i="4"/>
  <c r="C231" i="4"/>
  <c r="B231" i="4"/>
  <c r="O230" i="4"/>
  <c r="M230" i="4"/>
  <c r="L230" i="4"/>
  <c r="J230" i="4"/>
  <c r="N230" i="4" s="1"/>
  <c r="I230" i="4"/>
  <c r="C230" i="4"/>
  <c r="B230" i="4"/>
  <c r="O229" i="4"/>
  <c r="M229" i="4"/>
  <c r="L229" i="4"/>
  <c r="J229" i="4"/>
  <c r="N229" i="4" s="1"/>
  <c r="I229" i="4"/>
  <c r="C229" i="4"/>
  <c r="B229" i="4"/>
  <c r="O228" i="4"/>
  <c r="N228" i="4"/>
  <c r="M228" i="4"/>
  <c r="L228" i="4"/>
  <c r="J228" i="4"/>
  <c r="I228" i="4"/>
  <c r="C228" i="4"/>
  <c r="B228" i="4"/>
  <c r="P227" i="4"/>
  <c r="O227" i="4"/>
  <c r="M227" i="4"/>
  <c r="L227" i="4"/>
  <c r="J227" i="4"/>
  <c r="N227" i="4" s="1"/>
  <c r="I227" i="4"/>
  <c r="C227" i="4"/>
  <c r="B227" i="4"/>
  <c r="O226" i="4"/>
  <c r="N226" i="4"/>
  <c r="M226" i="4"/>
  <c r="L226" i="4"/>
  <c r="J226" i="4"/>
  <c r="I226" i="4"/>
  <c r="P226" i="4" s="1"/>
  <c r="C226" i="4"/>
  <c r="B226" i="4"/>
  <c r="O225" i="4"/>
  <c r="N225" i="4"/>
  <c r="M225" i="4"/>
  <c r="L225" i="4"/>
  <c r="K225" i="4"/>
  <c r="J225" i="4"/>
  <c r="I225" i="4"/>
  <c r="C225" i="4"/>
  <c r="B225" i="4"/>
  <c r="O224" i="4"/>
  <c r="N224" i="4"/>
  <c r="M224" i="4"/>
  <c r="L224" i="4"/>
  <c r="J224" i="4"/>
  <c r="I224" i="4"/>
  <c r="C224" i="4"/>
  <c r="B224" i="4"/>
  <c r="O223" i="4"/>
  <c r="M223" i="4"/>
  <c r="L223" i="4"/>
  <c r="J223" i="4"/>
  <c r="N223" i="4" s="1"/>
  <c r="I223" i="4"/>
  <c r="C223" i="4"/>
  <c r="B223" i="4"/>
  <c r="O222" i="4"/>
  <c r="M222" i="4"/>
  <c r="L222" i="4"/>
  <c r="J222" i="4"/>
  <c r="N222" i="4" s="1"/>
  <c r="I222" i="4"/>
  <c r="C222" i="4"/>
  <c r="B222" i="4"/>
  <c r="O221" i="4"/>
  <c r="M221" i="4"/>
  <c r="L221" i="4"/>
  <c r="K221" i="4"/>
  <c r="J221" i="4"/>
  <c r="N221" i="4" s="1"/>
  <c r="I221" i="4"/>
  <c r="C221" i="4"/>
  <c r="B221" i="4"/>
  <c r="O220" i="4"/>
  <c r="N220" i="4"/>
  <c r="M220" i="4"/>
  <c r="L220" i="4"/>
  <c r="K220" i="4"/>
  <c r="J220" i="4"/>
  <c r="I220" i="4"/>
  <c r="C220" i="4"/>
  <c r="B220" i="4"/>
  <c r="P219" i="4"/>
  <c r="O219" i="4"/>
  <c r="M219" i="4"/>
  <c r="L219" i="4"/>
  <c r="J219" i="4"/>
  <c r="N219" i="4" s="1"/>
  <c r="I219" i="4"/>
  <c r="K219" i="4" s="1"/>
  <c r="C219" i="4"/>
  <c r="B219" i="4"/>
  <c r="P218" i="4"/>
  <c r="O218" i="4"/>
  <c r="N218" i="4"/>
  <c r="M218" i="4"/>
  <c r="L218" i="4"/>
  <c r="K218" i="4"/>
  <c r="J218" i="4"/>
  <c r="I218" i="4"/>
  <c r="C218" i="4"/>
  <c r="B218" i="4"/>
  <c r="O217" i="4"/>
  <c r="N217" i="4"/>
  <c r="M217" i="4"/>
  <c r="L217" i="4"/>
  <c r="K217" i="4"/>
  <c r="J217" i="4"/>
  <c r="I217" i="4"/>
  <c r="C217" i="4"/>
  <c r="B217" i="4"/>
  <c r="O216" i="4"/>
  <c r="M216" i="4"/>
  <c r="L216" i="4"/>
  <c r="J216" i="4"/>
  <c r="N216" i="4" s="1"/>
  <c r="I216" i="4"/>
  <c r="P210" i="4" s="1"/>
  <c r="C216" i="4"/>
  <c r="B216" i="4"/>
  <c r="O215" i="4"/>
  <c r="M215" i="4"/>
  <c r="L215" i="4"/>
  <c r="J215" i="4"/>
  <c r="N215" i="4" s="1"/>
  <c r="I215" i="4"/>
  <c r="C215" i="4"/>
  <c r="B215" i="4"/>
  <c r="O214" i="4"/>
  <c r="M214" i="4"/>
  <c r="L214" i="4"/>
  <c r="J214" i="4"/>
  <c r="N214" i="4" s="1"/>
  <c r="I214" i="4"/>
  <c r="C214" i="4"/>
  <c r="B214" i="4"/>
  <c r="O213" i="4"/>
  <c r="N213" i="4"/>
  <c r="M213" i="4"/>
  <c r="L213" i="4"/>
  <c r="J213" i="4"/>
  <c r="I213" i="4"/>
  <c r="C213" i="4"/>
  <c r="B213" i="4"/>
  <c r="O212" i="4"/>
  <c r="N212" i="4"/>
  <c r="M212" i="4"/>
  <c r="L212" i="4"/>
  <c r="J212" i="4"/>
  <c r="I212" i="4"/>
  <c r="K212" i="4" s="1"/>
  <c r="C212" i="4"/>
  <c r="B212" i="4"/>
  <c r="O211" i="4"/>
  <c r="N211" i="4"/>
  <c r="M211" i="4"/>
  <c r="L211" i="4"/>
  <c r="J211" i="4"/>
  <c r="I211" i="4"/>
  <c r="C211" i="4"/>
  <c r="B211" i="4"/>
  <c r="O210" i="4"/>
  <c r="N210" i="4"/>
  <c r="M210" i="4"/>
  <c r="L210" i="4"/>
  <c r="J210" i="4"/>
  <c r="I210" i="4"/>
  <c r="C210" i="4"/>
  <c r="B210" i="4"/>
  <c r="O209" i="4"/>
  <c r="M209" i="4"/>
  <c r="L209" i="4"/>
  <c r="J209" i="4"/>
  <c r="N209" i="4" s="1"/>
  <c r="I209" i="4"/>
  <c r="C209" i="4"/>
  <c r="B209" i="4"/>
  <c r="O208" i="4"/>
  <c r="N208" i="4"/>
  <c r="M208" i="4"/>
  <c r="L208" i="4"/>
  <c r="J208" i="4"/>
  <c r="I208" i="4"/>
  <c r="C208" i="4"/>
  <c r="B208" i="4"/>
  <c r="O207" i="4"/>
  <c r="M207" i="4"/>
  <c r="L207" i="4"/>
  <c r="J207" i="4"/>
  <c r="N207" i="4" s="1"/>
  <c r="I207" i="4"/>
  <c r="C207" i="4"/>
  <c r="B207" i="4"/>
  <c r="O206" i="4"/>
  <c r="M206" i="4"/>
  <c r="L206" i="4"/>
  <c r="J206" i="4"/>
  <c r="N206" i="4" s="1"/>
  <c r="I206" i="4"/>
  <c r="P203" i="4" s="1"/>
  <c r="C206" i="4"/>
  <c r="B206" i="4"/>
  <c r="O205" i="4"/>
  <c r="M205" i="4"/>
  <c r="L205" i="4"/>
  <c r="J205" i="4"/>
  <c r="N205" i="4" s="1"/>
  <c r="I205" i="4"/>
  <c r="C205" i="4"/>
  <c r="B205" i="4"/>
  <c r="O204" i="4"/>
  <c r="M204" i="4"/>
  <c r="L204" i="4"/>
  <c r="K204" i="4"/>
  <c r="J204" i="4"/>
  <c r="N204" i="4" s="1"/>
  <c r="I204" i="4"/>
  <c r="C204" i="4"/>
  <c r="B204" i="4"/>
  <c r="O203" i="4"/>
  <c r="M203" i="4"/>
  <c r="L203" i="4"/>
  <c r="J203" i="4"/>
  <c r="N203" i="4" s="1"/>
  <c r="I203" i="4"/>
  <c r="K203" i="4" s="1"/>
  <c r="C203" i="4"/>
  <c r="B203" i="4"/>
  <c r="O202" i="4"/>
  <c r="N202" i="4"/>
  <c r="M202" i="4"/>
  <c r="L202" i="4"/>
  <c r="K202" i="4"/>
  <c r="J202" i="4"/>
  <c r="I202" i="4"/>
  <c r="C202" i="4"/>
  <c r="B202" i="4"/>
  <c r="O201" i="4"/>
  <c r="N201" i="4"/>
  <c r="M201" i="4"/>
  <c r="L201" i="4"/>
  <c r="K201" i="4"/>
  <c r="J201" i="4"/>
  <c r="I201" i="4"/>
  <c r="C201" i="4"/>
  <c r="B201" i="4"/>
  <c r="O200" i="4"/>
  <c r="M200" i="4"/>
  <c r="L200" i="4"/>
  <c r="J200" i="4"/>
  <c r="N200" i="4" s="1"/>
  <c r="I200" i="4"/>
  <c r="C200" i="4"/>
  <c r="B200" i="4"/>
  <c r="P199" i="4"/>
  <c r="O199" i="4"/>
  <c r="M199" i="4"/>
  <c r="L199" i="4"/>
  <c r="J199" i="4"/>
  <c r="N199" i="4" s="1"/>
  <c r="I199" i="4"/>
  <c r="C199" i="4"/>
  <c r="B199" i="4"/>
  <c r="O198" i="4"/>
  <c r="M198" i="4"/>
  <c r="L198" i="4"/>
  <c r="J198" i="4"/>
  <c r="N198" i="4" s="1"/>
  <c r="I198" i="4"/>
  <c r="C198" i="4"/>
  <c r="B198" i="4"/>
  <c r="P197" i="4"/>
  <c r="O197" i="4"/>
  <c r="N197" i="4"/>
  <c r="M197" i="4"/>
  <c r="L197" i="4"/>
  <c r="K197" i="4"/>
  <c r="J197" i="4"/>
  <c r="I197" i="4"/>
  <c r="C197" i="4"/>
  <c r="B197" i="4"/>
  <c r="O196" i="4"/>
  <c r="M196" i="4"/>
  <c r="L196" i="4"/>
  <c r="J196" i="4"/>
  <c r="N196" i="4" s="1"/>
  <c r="I196" i="4"/>
  <c r="C196" i="4"/>
  <c r="B196" i="4"/>
  <c r="O195" i="4"/>
  <c r="N195" i="4"/>
  <c r="M195" i="4"/>
  <c r="L195" i="4"/>
  <c r="J195" i="4"/>
  <c r="I195" i="4"/>
  <c r="C195" i="4"/>
  <c r="B195" i="4"/>
  <c r="O194" i="4"/>
  <c r="N194" i="4"/>
  <c r="M194" i="4"/>
  <c r="L194" i="4"/>
  <c r="J194" i="4"/>
  <c r="I194" i="4"/>
  <c r="P194" i="4" s="1"/>
  <c r="C194" i="4"/>
  <c r="B194" i="4"/>
  <c r="O193" i="4"/>
  <c r="M193" i="4"/>
  <c r="L193" i="4"/>
  <c r="J193" i="4"/>
  <c r="N193" i="4" s="1"/>
  <c r="I193" i="4"/>
  <c r="C193" i="4"/>
  <c r="B193" i="4"/>
  <c r="O192" i="4"/>
  <c r="N192" i="4"/>
  <c r="M192" i="4"/>
  <c r="L192" i="4"/>
  <c r="J192" i="4"/>
  <c r="I192" i="4"/>
  <c r="C192" i="4"/>
  <c r="B192" i="4"/>
  <c r="O191" i="4"/>
  <c r="M191" i="4"/>
  <c r="L191" i="4"/>
  <c r="J191" i="4"/>
  <c r="N191" i="4" s="1"/>
  <c r="I191" i="4"/>
  <c r="C191" i="4"/>
  <c r="B191" i="4"/>
  <c r="O190" i="4"/>
  <c r="M190" i="4"/>
  <c r="L190" i="4"/>
  <c r="J190" i="4"/>
  <c r="N190" i="4" s="1"/>
  <c r="I190" i="4"/>
  <c r="C190" i="4"/>
  <c r="B190" i="4"/>
  <c r="O189" i="4"/>
  <c r="M189" i="4"/>
  <c r="L189" i="4"/>
  <c r="J189" i="4"/>
  <c r="N189" i="4" s="1"/>
  <c r="I189" i="4"/>
  <c r="C189" i="4"/>
  <c r="B189" i="4"/>
  <c r="O188" i="4"/>
  <c r="N188" i="4"/>
  <c r="M188" i="4"/>
  <c r="L188" i="4"/>
  <c r="K188" i="4"/>
  <c r="J188" i="4"/>
  <c r="I188" i="4"/>
  <c r="C188" i="4"/>
  <c r="B188" i="4"/>
  <c r="O187" i="4"/>
  <c r="M187" i="4"/>
  <c r="L187" i="4"/>
  <c r="J187" i="4"/>
  <c r="N187" i="4" s="1"/>
  <c r="I187" i="4"/>
  <c r="K187" i="4" s="1"/>
  <c r="C187" i="4"/>
  <c r="B187" i="4"/>
  <c r="O186" i="4"/>
  <c r="N186" i="4"/>
  <c r="M186" i="4"/>
  <c r="L186" i="4"/>
  <c r="K186" i="4"/>
  <c r="J186" i="4"/>
  <c r="I186" i="4"/>
  <c r="C186" i="4"/>
  <c r="B186" i="4"/>
  <c r="P185" i="4"/>
  <c r="O185" i="4"/>
  <c r="N185" i="4"/>
  <c r="M185" i="4"/>
  <c r="L185" i="4"/>
  <c r="K185" i="4"/>
  <c r="J185" i="4"/>
  <c r="I185" i="4"/>
  <c r="C185" i="4"/>
  <c r="B185" i="4"/>
  <c r="O184" i="4"/>
  <c r="M184" i="4"/>
  <c r="L184" i="4"/>
  <c r="J184" i="4"/>
  <c r="N184" i="4" s="1"/>
  <c r="I184" i="4"/>
  <c r="C184" i="4"/>
  <c r="B184" i="4"/>
  <c r="P183" i="4"/>
  <c r="O183" i="4"/>
  <c r="M183" i="4"/>
  <c r="L183" i="4"/>
  <c r="J183" i="4"/>
  <c r="N183" i="4" s="1"/>
  <c r="I183" i="4"/>
  <c r="C183" i="4"/>
  <c r="B183" i="4"/>
  <c r="O182" i="4"/>
  <c r="M182" i="4"/>
  <c r="L182" i="4"/>
  <c r="J182" i="4"/>
  <c r="N182" i="4" s="1"/>
  <c r="I182" i="4"/>
  <c r="C182" i="4"/>
  <c r="B182" i="4"/>
  <c r="P181" i="4"/>
  <c r="O181" i="4"/>
  <c r="N181" i="4"/>
  <c r="M181" i="4"/>
  <c r="L181" i="4"/>
  <c r="K181" i="4"/>
  <c r="J181" i="4"/>
  <c r="I181" i="4"/>
  <c r="C181" i="4"/>
  <c r="B181" i="4"/>
  <c r="O180" i="4"/>
  <c r="N180" i="4"/>
  <c r="M180" i="4"/>
  <c r="L180" i="4"/>
  <c r="K180" i="4"/>
  <c r="J180" i="4"/>
  <c r="I180" i="4"/>
  <c r="C180" i="4"/>
  <c r="B180" i="4"/>
  <c r="O179" i="4"/>
  <c r="N179" i="4"/>
  <c r="M179" i="4"/>
  <c r="L179" i="4"/>
  <c r="J179" i="4"/>
  <c r="I179" i="4"/>
  <c r="C179" i="4"/>
  <c r="B179" i="4"/>
  <c r="O178" i="4"/>
  <c r="N178" i="4"/>
  <c r="M178" i="4"/>
  <c r="L178" i="4"/>
  <c r="J178" i="4"/>
  <c r="I178" i="4"/>
  <c r="C178" i="4"/>
  <c r="B178" i="4"/>
  <c r="O177" i="4"/>
  <c r="M177" i="4"/>
  <c r="L177" i="4"/>
  <c r="J177" i="4"/>
  <c r="N177" i="4" s="1"/>
  <c r="I177" i="4"/>
  <c r="C177" i="4"/>
  <c r="B177" i="4"/>
  <c r="O176" i="4"/>
  <c r="N176" i="4"/>
  <c r="M176" i="4"/>
  <c r="L176" i="4"/>
  <c r="J176" i="4"/>
  <c r="I176" i="4"/>
  <c r="C176" i="4"/>
  <c r="B176" i="4"/>
  <c r="O175" i="4"/>
  <c r="M175" i="4"/>
  <c r="L175" i="4"/>
  <c r="J175" i="4"/>
  <c r="N175" i="4" s="1"/>
  <c r="I175" i="4"/>
  <c r="C175" i="4"/>
  <c r="B175" i="4"/>
  <c r="O174" i="4"/>
  <c r="M174" i="4"/>
  <c r="L174" i="4"/>
  <c r="J174" i="4"/>
  <c r="N174" i="4" s="1"/>
  <c r="I174" i="4"/>
  <c r="C174" i="4"/>
  <c r="B174" i="4"/>
  <c r="O173" i="4"/>
  <c r="M173" i="4"/>
  <c r="L173" i="4"/>
  <c r="K173" i="4"/>
  <c r="J173" i="4"/>
  <c r="N173" i="4" s="1"/>
  <c r="I173" i="4"/>
  <c r="C173" i="4"/>
  <c r="B173" i="4"/>
  <c r="O172" i="4"/>
  <c r="N172" i="4"/>
  <c r="M172" i="4"/>
  <c r="L172" i="4"/>
  <c r="K172" i="4"/>
  <c r="J172" i="4"/>
  <c r="I172" i="4"/>
  <c r="C172" i="4"/>
  <c r="B172" i="4"/>
  <c r="O171" i="4"/>
  <c r="M171" i="4"/>
  <c r="L171" i="4"/>
  <c r="J171" i="4"/>
  <c r="N171" i="4" s="1"/>
  <c r="I171" i="4"/>
  <c r="K171" i="4" s="1"/>
  <c r="C171" i="4"/>
  <c r="B171" i="4"/>
  <c r="O170" i="4"/>
  <c r="N170" i="4"/>
  <c r="M170" i="4"/>
  <c r="L170" i="4"/>
  <c r="K170" i="4"/>
  <c r="J170" i="4"/>
  <c r="I170" i="4"/>
  <c r="C170" i="4"/>
  <c r="B170" i="4"/>
  <c r="P169" i="4"/>
  <c r="O169" i="4"/>
  <c r="N169" i="4"/>
  <c r="M169" i="4"/>
  <c r="L169" i="4"/>
  <c r="K169" i="4"/>
  <c r="J169" i="4"/>
  <c r="I169" i="4"/>
  <c r="C169" i="4"/>
  <c r="B169" i="4"/>
  <c r="O168" i="4"/>
  <c r="M168" i="4"/>
  <c r="L168" i="4"/>
  <c r="J168" i="4"/>
  <c r="N168" i="4" s="1"/>
  <c r="I168" i="4"/>
  <c r="C168" i="4"/>
  <c r="B168" i="4"/>
  <c r="O167" i="4"/>
  <c r="M167" i="4"/>
  <c r="L167" i="4"/>
  <c r="J167" i="4"/>
  <c r="N167" i="4" s="1"/>
  <c r="I167" i="4"/>
  <c r="C167" i="4"/>
  <c r="B167" i="4"/>
  <c r="O166" i="4"/>
  <c r="M166" i="4"/>
  <c r="L166" i="4"/>
  <c r="J166" i="4"/>
  <c r="N166" i="4" s="1"/>
  <c r="I166" i="4"/>
  <c r="P165" i="4" s="1"/>
  <c r="C166" i="4"/>
  <c r="B166" i="4"/>
  <c r="O165" i="4"/>
  <c r="N165" i="4"/>
  <c r="M165" i="4"/>
  <c r="L165" i="4"/>
  <c r="K165" i="4"/>
  <c r="J165" i="4"/>
  <c r="I165" i="4"/>
  <c r="C165" i="4"/>
  <c r="B165" i="4"/>
  <c r="O164" i="4"/>
  <c r="N164" i="4"/>
  <c r="M164" i="4"/>
  <c r="L164" i="4"/>
  <c r="K164" i="4"/>
  <c r="J164" i="4"/>
  <c r="I164" i="4"/>
  <c r="C164" i="4"/>
  <c r="B164" i="4"/>
  <c r="O163" i="4"/>
  <c r="N163" i="4"/>
  <c r="M163" i="4"/>
  <c r="L163" i="4"/>
  <c r="J163" i="4"/>
  <c r="I163" i="4"/>
  <c r="C163" i="4"/>
  <c r="B163" i="4"/>
  <c r="P162" i="4"/>
  <c r="O162" i="4"/>
  <c r="N162" i="4"/>
  <c r="M162" i="4"/>
  <c r="L162" i="4"/>
  <c r="J162" i="4"/>
  <c r="I162" i="4"/>
  <c r="C162" i="4"/>
  <c r="B162" i="4"/>
  <c r="O161" i="4"/>
  <c r="M161" i="4"/>
  <c r="L161" i="4"/>
  <c r="K161" i="4"/>
  <c r="J161" i="4"/>
  <c r="N161" i="4" s="1"/>
  <c r="I161" i="4"/>
  <c r="C161" i="4"/>
  <c r="B161" i="4"/>
  <c r="O160" i="4"/>
  <c r="N160" i="4"/>
  <c r="M160" i="4"/>
  <c r="L160" i="4"/>
  <c r="J160" i="4"/>
  <c r="I160" i="4"/>
  <c r="P159" i="4" s="1"/>
  <c r="C160" i="4"/>
  <c r="B160" i="4"/>
  <c r="O159" i="4"/>
  <c r="M159" i="4"/>
  <c r="L159" i="4"/>
  <c r="J159" i="4"/>
  <c r="N159" i="4" s="1"/>
  <c r="I159" i="4"/>
  <c r="C159" i="4"/>
  <c r="B159" i="4"/>
  <c r="O158" i="4"/>
  <c r="M158" i="4"/>
  <c r="L158" i="4"/>
  <c r="J158" i="4"/>
  <c r="N158" i="4" s="1"/>
  <c r="I158" i="4"/>
  <c r="C158" i="4"/>
  <c r="B158" i="4"/>
  <c r="O157" i="4"/>
  <c r="M157" i="4"/>
  <c r="L157" i="4"/>
  <c r="J157" i="4"/>
  <c r="N157" i="4" s="1"/>
  <c r="I157" i="4"/>
  <c r="C157" i="4"/>
  <c r="B157" i="4"/>
  <c r="O156" i="4"/>
  <c r="M156" i="4"/>
  <c r="L156" i="4"/>
  <c r="K156" i="4"/>
  <c r="J156" i="4"/>
  <c r="N156" i="4" s="1"/>
  <c r="I156" i="4"/>
  <c r="C156" i="4"/>
  <c r="B156" i="4"/>
  <c r="O155" i="4"/>
  <c r="M155" i="4"/>
  <c r="L155" i="4"/>
  <c r="J155" i="4"/>
  <c r="N155" i="4" s="1"/>
  <c r="I155" i="4"/>
  <c r="C155" i="4"/>
  <c r="B155" i="4"/>
  <c r="O154" i="4"/>
  <c r="N154" i="4"/>
  <c r="M154" i="4"/>
  <c r="L154" i="4"/>
  <c r="K154" i="4"/>
  <c r="J154" i="4"/>
  <c r="I154" i="4"/>
  <c r="C154" i="4"/>
  <c r="B154" i="4"/>
  <c r="O153" i="4"/>
  <c r="N153" i="4"/>
  <c r="M153" i="4"/>
  <c r="L153" i="4"/>
  <c r="K153" i="4"/>
  <c r="J153" i="4"/>
  <c r="I153" i="4"/>
  <c r="C153" i="4"/>
  <c r="B153" i="4"/>
  <c r="O152" i="4"/>
  <c r="M152" i="4"/>
  <c r="L152" i="4"/>
  <c r="J152" i="4"/>
  <c r="N152" i="4" s="1"/>
  <c r="I152" i="4"/>
  <c r="C152" i="4"/>
  <c r="B152" i="4"/>
  <c r="O151" i="4"/>
  <c r="M151" i="4"/>
  <c r="L151" i="4"/>
  <c r="J151" i="4"/>
  <c r="N151" i="4" s="1"/>
  <c r="I151" i="4"/>
  <c r="C151" i="4"/>
  <c r="B151" i="4"/>
  <c r="O150" i="4"/>
  <c r="M150" i="4"/>
  <c r="L150" i="4"/>
  <c r="J150" i="4"/>
  <c r="N150" i="4" s="1"/>
  <c r="I150" i="4"/>
  <c r="P149" i="4" s="1"/>
  <c r="C150" i="4"/>
  <c r="B150" i="4"/>
  <c r="O149" i="4"/>
  <c r="N149" i="4"/>
  <c r="M149" i="4"/>
  <c r="L149" i="4"/>
  <c r="K149" i="4"/>
  <c r="J149" i="4"/>
  <c r="I149" i="4"/>
  <c r="C149" i="4"/>
  <c r="B149" i="4"/>
  <c r="O148" i="4"/>
  <c r="M148" i="4"/>
  <c r="L148" i="4"/>
  <c r="J148" i="4"/>
  <c r="N148" i="4" s="1"/>
  <c r="I148" i="4"/>
  <c r="K148" i="4" s="1"/>
  <c r="C148" i="4"/>
  <c r="B148" i="4"/>
  <c r="O147" i="4"/>
  <c r="N147" i="4"/>
  <c r="M147" i="4"/>
  <c r="L147" i="4"/>
  <c r="J147" i="4"/>
  <c r="I147" i="4"/>
  <c r="C147" i="4"/>
  <c r="B147" i="4"/>
  <c r="O146" i="4"/>
  <c r="N146" i="4"/>
  <c r="M146" i="4"/>
  <c r="L146" i="4"/>
  <c r="J146" i="4"/>
  <c r="I146" i="4"/>
  <c r="C146" i="4"/>
  <c r="B146" i="4"/>
  <c r="O145" i="4"/>
  <c r="M145" i="4"/>
  <c r="L145" i="4"/>
  <c r="K145" i="4"/>
  <c r="J145" i="4"/>
  <c r="N145" i="4" s="1"/>
  <c r="I145" i="4"/>
  <c r="C145" i="4"/>
  <c r="B145" i="4"/>
  <c r="O144" i="4"/>
  <c r="N144" i="4"/>
  <c r="M144" i="4"/>
  <c r="L144" i="4"/>
  <c r="J144" i="4"/>
  <c r="I144" i="4"/>
  <c r="C144" i="4"/>
  <c r="B144" i="4"/>
  <c r="O143" i="4"/>
  <c r="M143" i="4"/>
  <c r="L143" i="4"/>
  <c r="J143" i="4"/>
  <c r="N143" i="4" s="1"/>
  <c r="I143" i="4"/>
  <c r="C143" i="4"/>
  <c r="B143" i="4"/>
  <c r="O142" i="4"/>
  <c r="N142" i="4"/>
  <c r="M142" i="4"/>
  <c r="L142" i="4"/>
  <c r="K142" i="4"/>
  <c r="J142" i="4"/>
  <c r="I142" i="4"/>
  <c r="C142" i="4"/>
  <c r="B142" i="4"/>
  <c r="O141" i="4"/>
  <c r="N141" i="4"/>
  <c r="M141" i="4"/>
  <c r="L141" i="4"/>
  <c r="J141" i="4"/>
  <c r="I141" i="4"/>
  <c r="C141" i="4"/>
  <c r="B141" i="4"/>
  <c r="O140" i="4"/>
  <c r="M140" i="4"/>
  <c r="L140" i="4"/>
  <c r="J140" i="4"/>
  <c r="N140" i="4" s="1"/>
  <c r="I140" i="4"/>
  <c r="P137" i="4" s="1"/>
  <c r="C140" i="4"/>
  <c r="B140" i="4"/>
  <c r="O139" i="4"/>
  <c r="M139" i="4"/>
  <c r="L139" i="4"/>
  <c r="J139" i="4"/>
  <c r="N139" i="4" s="1"/>
  <c r="I139" i="4"/>
  <c r="C139" i="4"/>
  <c r="B139" i="4"/>
  <c r="O138" i="4"/>
  <c r="M138" i="4"/>
  <c r="L138" i="4"/>
  <c r="K138" i="4"/>
  <c r="J138" i="4"/>
  <c r="N138" i="4" s="1"/>
  <c r="I138" i="4"/>
  <c r="C138" i="4"/>
  <c r="B138" i="4"/>
  <c r="O137" i="4"/>
  <c r="M137" i="4"/>
  <c r="L137" i="4"/>
  <c r="J137" i="4"/>
  <c r="N137" i="4" s="1"/>
  <c r="I137" i="4"/>
  <c r="K137" i="4" s="1"/>
  <c r="C137" i="4"/>
  <c r="B137" i="4"/>
  <c r="O136" i="4"/>
  <c r="N136" i="4"/>
  <c r="M136" i="4"/>
  <c r="L136" i="4"/>
  <c r="K136" i="4"/>
  <c r="J136" i="4"/>
  <c r="I136" i="4"/>
  <c r="C136" i="4"/>
  <c r="B136" i="4"/>
  <c r="O135" i="4"/>
  <c r="N135" i="4"/>
  <c r="M135" i="4"/>
  <c r="L135" i="4"/>
  <c r="K135" i="4"/>
  <c r="J135" i="4"/>
  <c r="I135" i="4"/>
  <c r="C135" i="4"/>
  <c r="B135" i="4"/>
  <c r="O134" i="4"/>
  <c r="M134" i="4"/>
  <c r="L134" i="4"/>
  <c r="J134" i="4"/>
  <c r="N134" i="4" s="1"/>
  <c r="I134" i="4"/>
  <c r="K134" i="4" s="1"/>
  <c r="C134" i="4"/>
  <c r="B134" i="4"/>
  <c r="O133" i="4"/>
  <c r="N133" i="4"/>
  <c r="M133" i="4"/>
  <c r="L133" i="4"/>
  <c r="J133" i="4"/>
  <c r="I133" i="4"/>
  <c r="C133" i="4"/>
  <c r="B133" i="4"/>
  <c r="O132" i="4"/>
  <c r="M132" i="4"/>
  <c r="L132" i="4"/>
  <c r="J132" i="4"/>
  <c r="N132" i="4" s="1"/>
  <c r="I132" i="4"/>
  <c r="C132" i="4"/>
  <c r="B132" i="4"/>
  <c r="O131" i="4"/>
  <c r="M131" i="4"/>
  <c r="L131" i="4"/>
  <c r="K131" i="4"/>
  <c r="J131" i="4"/>
  <c r="N131" i="4" s="1"/>
  <c r="I131" i="4"/>
  <c r="C131" i="4"/>
  <c r="B131" i="4"/>
  <c r="O130" i="4"/>
  <c r="N130" i="4"/>
  <c r="M130" i="4"/>
  <c r="L130" i="4"/>
  <c r="K130" i="4"/>
  <c r="J130" i="4"/>
  <c r="I130" i="4"/>
  <c r="C130" i="4"/>
  <c r="B130" i="4"/>
  <c r="O129" i="4"/>
  <c r="M129" i="4"/>
  <c r="L129" i="4"/>
  <c r="J129" i="4"/>
  <c r="N129" i="4" s="1"/>
  <c r="I129" i="4"/>
  <c r="K129" i="4" s="1"/>
  <c r="C129" i="4"/>
  <c r="B129" i="4"/>
  <c r="O128" i="4"/>
  <c r="N128" i="4"/>
  <c r="M128" i="4"/>
  <c r="L128" i="4"/>
  <c r="K128" i="4"/>
  <c r="J128" i="4"/>
  <c r="I128" i="4"/>
  <c r="C128" i="4"/>
  <c r="B128" i="4"/>
  <c r="P127" i="4"/>
  <c r="O127" i="4"/>
  <c r="N127" i="4"/>
  <c r="M127" i="4"/>
  <c r="L127" i="4"/>
  <c r="K127" i="4"/>
  <c r="J127" i="4"/>
  <c r="I127" i="4"/>
  <c r="C127" i="4"/>
  <c r="B127" i="4"/>
  <c r="O126" i="4"/>
  <c r="M126" i="4"/>
  <c r="L126" i="4"/>
  <c r="K126" i="4"/>
  <c r="J126" i="4"/>
  <c r="N126" i="4" s="1"/>
  <c r="I126" i="4"/>
  <c r="C126" i="4"/>
  <c r="B126" i="4"/>
  <c r="O125" i="4"/>
  <c r="N125" i="4"/>
  <c r="M125" i="4"/>
  <c r="L125" i="4"/>
  <c r="J125" i="4"/>
  <c r="I125" i="4"/>
  <c r="C125" i="4"/>
  <c r="B125" i="4"/>
  <c r="P124" i="4"/>
  <c r="O124" i="4"/>
  <c r="M124" i="4"/>
  <c r="L124" i="4"/>
  <c r="J124" i="4"/>
  <c r="N124" i="4" s="1"/>
  <c r="I124" i="4"/>
  <c r="K123" i="4" s="1"/>
  <c r="C124" i="4"/>
  <c r="B124" i="4"/>
  <c r="O123" i="4"/>
  <c r="M123" i="4"/>
  <c r="L123" i="4"/>
  <c r="J123" i="4"/>
  <c r="N123" i="4" s="1"/>
  <c r="I123" i="4"/>
  <c r="C123" i="4"/>
  <c r="B123" i="4"/>
  <c r="O122" i="4"/>
  <c r="N122" i="4"/>
  <c r="M122" i="4"/>
  <c r="L122" i="4"/>
  <c r="K122" i="4"/>
  <c r="J122" i="4"/>
  <c r="I122" i="4"/>
  <c r="C122" i="4"/>
  <c r="B122" i="4"/>
  <c r="P121" i="4"/>
  <c r="O121" i="4"/>
  <c r="M121" i="4"/>
  <c r="L121" i="4"/>
  <c r="J121" i="4"/>
  <c r="N121" i="4" s="1"/>
  <c r="I121" i="4"/>
  <c r="K121" i="4" s="1"/>
  <c r="C121" i="4"/>
  <c r="B121" i="4"/>
  <c r="P120" i="4"/>
  <c r="O120" i="4"/>
  <c r="N120" i="4"/>
  <c r="M120" i="4"/>
  <c r="L120" i="4"/>
  <c r="K120" i="4"/>
  <c r="J120" i="4"/>
  <c r="I120" i="4"/>
  <c r="C120" i="4"/>
  <c r="B120" i="4"/>
  <c r="O119" i="4"/>
  <c r="N119" i="4"/>
  <c r="M119" i="4"/>
  <c r="L119" i="4"/>
  <c r="K119" i="4"/>
  <c r="J119" i="4"/>
  <c r="I119" i="4"/>
  <c r="C119" i="4"/>
  <c r="B119" i="4"/>
  <c r="O118" i="4"/>
  <c r="N118" i="4"/>
  <c r="M118" i="4"/>
  <c r="L118" i="4"/>
  <c r="J118" i="4"/>
  <c r="I118" i="4"/>
  <c r="K118" i="4" s="1"/>
  <c r="C118" i="4"/>
  <c r="B118" i="4"/>
  <c r="O117" i="4"/>
  <c r="N117" i="4"/>
  <c r="M117" i="4"/>
  <c r="L117" i="4"/>
  <c r="J117" i="4"/>
  <c r="I117" i="4"/>
  <c r="C117" i="4"/>
  <c r="B117" i="4"/>
  <c r="P116" i="4"/>
  <c r="O116" i="4"/>
  <c r="M116" i="4"/>
  <c r="L116" i="4"/>
  <c r="J116" i="4"/>
  <c r="N116" i="4" s="1"/>
  <c r="I116" i="4"/>
  <c r="C116" i="4"/>
  <c r="B116" i="4"/>
  <c r="O115" i="4"/>
  <c r="M115" i="4"/>
  <c r="L115" i="4"/>
  <c r="K115" i="4"/>
  <c r="J115" i="4"/>
  <c r="N115" i="4" s="1"/>
  <c r="I115" i="4"/>
  <c r="C115" i="4"/>
  <c r="B115" i="4"/>
  <c r="O114" i="4"/>
  <c r="M114" i="4"/>
  <c r="L114" i="4"/>
  <c r="J114" i="4"/>
  <c r="N114" i="4" s="1"/>
  <c r="I114" i="4"/>
  <c r="K114" i="4" s="1"/>
  <c r="C114" i="4"/>
  <c r="B114" i="4"/>
  <c r="O113" i="4"/>
  <c r="M113" i="4"/>
  <c r="L113" i="4"/>
  <c r="J113" i="4"/>
  <c r="N113" i="4" s="1"/>
  <c r="I113" i="4"/>
  <c r="K113" i="4" s="1"/>
  <c r="C113" i="4"/>
  <c r="B113" i="4"/>
  <c r="O112" i="4"/>
  <c r="N112" i="4"/>
  <c r="M112" i="4"/>
  <c r="L112" i="4"/>
  <c r="K112" i="4"/>
  <c r="J112" i="4"/>
  <c r="I112" i="4"/>
  <c r="C112" i="4"/>
  <c r="B112" i="4"/>
  <c r="O111" i="4"/>
  <c r="N111" i="4"/>
  <c r="M111" i="4"/>
  <c r="L111" i="4"/>
  <c r="K111" i="4"/>
  <c r="J111" i="4"/>
  <c r="I111" i="4"/>
  <c r="C111" i="4"/>
  <c r="B111" i="4"/>
  <c r="O110" i="4"/>
  <c r="N110" i="4"/>
  <c r="M110" i="4"/>
  <c r="L110" i="4"/>
  <c r="J110" i="4"/>
  <c r="I110" i="4"/>
  <c r="C110" i="4"/>
  <c r="B110" i="4"/>
  <c r="O109" i="4"/>
  <c r="N109" i="4"/>
  <c r="M109" i="4"/>
  <c r="L109" i="4"/>
  <c r="J109" i="4"/>
  <c r="I109" i="4"/>
  <c r="C109" i="4"/>
  <c r="B109" i="4"/>
  <c r="O108" i="4"/>
  <c r="M108" i="4"/>
  <c r="L108" i="4"/>
  <c r="J108" i="4"/>
  <c r="N108" i="4" s="1"/>
  <c r="I108" i="4"/>
  <c r="P108" i="4" s="1"/>
  <c r="C108" i="4"/>
  <c r="B108" i="4"/>
  <c r="O107" i="4"/>
  <c r="M107" i="4"/>
  <c r="L107" i="4"/>
  <c r="J107" i="4"/>
  <c r="N107" i="4" s="1"/>
  <c r="I107" i="4"/>
  <c r="C107" i="4"/>
  <c r="B107" i="4"/>
  <c r="O106" i="4"/>
  <c r="M106" i="4"/>
  <c r="L106" i="4"/>
  <c r="J106" i="4"/>
  <c r="N106" i="4" s="1"/>
  <c r="I106" i="4"/>
  <c r="K106" i="4" s="1"/>
  <c r="C106" i="4"/>
  <c r="B106" i="4"/>
  <c r="O105" i="4"/>
  <c r="M105" i="4"/>
  <c r="L105" i="4"/>
  <c r="J105" i="4"/>
  <c r="N105" i="4" s="1"/>
  <c r="I105" i="4"/>
  <c r="K105" i="4" s="1"/>
  <c r="C105" i="4"/>
  <c r="B105" i="4"/>
  <c r="O104" i="4"/>
  <c r="N104" i="4"/>
  <c r="M104" i="4"/>
  <c r="L104" i="4"/>
  <c r="J104" i="4"/>
  <c r="I104" i="4"/>
  <c r="C104" i="4"/>
  <c r="B104" i="4"/>
  <c r="O103" i="4"/>
  <c r="N103" i="4"/>
  <c r="M103" i="4"/>
  <c r="L103" i="4"/>
  <c r="K103" i="4"/>
  <c r="J103" i="4"/>
  <c r="I103" i="4"/>
  <c r="C103" i="4"/>
  <c r="B103" i="4"/>
  <c r="O102" i="4"/>
  <c r="N102" i="4"/>
  <c r="M102" i="4"/>
  <c r="L102" i="4"/>
  <c r="K102" i="4"/>
  <c r="J102" i="4"/>
  <c r="I102" i="4"/>
  <c r="C102" i="4"/>
  <c r="B102" i="4"/>
  <c r="O101" i="4"/>
  <c r="N101" i="4"/>
  <c r="M101" i="4"/>
  <c r="L101" i="4"/>
  <c r="J101" i="4"/>
  <c r="I101" i="4"/>
  <c r="C101" i="4"/>
  <c r="B101" i="4"/>
  <c r="O100" i="4"/>
  <c r="M100" i="4"/>
  <c r="L100" i="4"/>
  <c r="J100" i="4"/>
  <c r="N100" i="4" s="1"/>
  <c r="I100" i="4"/>
  <c r="K99" i="4" s="1"/>
  <c r="C100" i="4"/>
  <c r="B100" i="4"/>
  <c r="O99" i="4"/>
  <c r="M99" i="4"/>
  <c r="L99" i="4"/>
  <c r="J99" i="4"/>
  <c r="N99" i="4" s="1"/>
  <c r="I99" i="4"/>
  <c r="C99" i="4"/>
  <c r="B99" i="4"/>
  <c r="O98" i="4"/>
  <c r="M98" i="4"/>
  <c r="L98" i="4"/>
  <c r="J98" i="4"/>
  <c r="N98" i="4" s="1"/>
  <c r="I98" i="4"/>
  <c r="K98" i="4" s="1"/>
  <c r="C98" i="4"/>
  <c r="B98" i="4"/>
  <c r="O97" i="4"/>
  <c r="M97" i="4"/>
  <c r="L97" i="4"/>
  <c r="J97" i="4"/>
  <c r="N97" i="4" s="1"/>
  <c r="I97" i="4"/>
  <c r="C97" i="4"/>
  <c r="B97" i="4"/>
  <c r="O96" i="4"/>
  <c r="N96" i="4"/>
  <c r="M96" i="4"/>
  <c r="L96" i="4"/>
  <c r="J96" i="4"/>
  <c r="I96" i="4"/>
  <c r="C96" i="4"/>
  <c r="B96" i="4"/>
  <c r="O95" i="4"/>
  <c r="N95" i="4"/>
  <c r="M95" i="4"/>
  <c r="L95" i="4"/>
  <c r="K95" i="4"/>
  <c r="J95" i="4"/>
  <c r="I95" i="4"/>
  <c r="C95" i="4"/>
  <c r="B95" i="4"/>
  <c r="O94" i="4"/>
  <c r="M94" i="4"/>
  <c r="L94" i="4"/>
  <c r="J94" i="4"/>
  <c r="N94" i="4" s="1"/>
  <c r="I94" i="4"/>
  <c r="C94" i="4"/>
  <c r="B94" i="4"/>
  <c r="O93" i="4"/>
  <c r="N93" i="4"/>
  <c r="M93" i="4"/>
  <c r="L93" i="4"/>
  <c r="J93" i="4"/>
  <c r="I93" i="4"/>
  <c r="C93" i="4"/>
  <c r="B93" i="4"/>
  <c r="O92" i="4"/>
  <c r="M92" i="4"/>
  <c r="L92" i="4"/>
  <c r="J92" i="4"/>
  <c r="N92" i="4" s="1"/>
  <c r="I92" i="4"/>
  <c r="C92" i="4"/>
  <c r="B92" i="4"/>
  <c r="O91" i="4"/>
  <c r="M91" i="4"/>
  <c r="L91" i="4"/>
  <c r="J91" i="4"/>
  <c r="N91" i="4" s="1"/>
  <c r="I91" i="4"/>
  <c r="C91" i="4"/>
  <c r="B91" i="4"/>
  <c r="O90" i="4"/>
  <c r="M90" i="4"/>
  <c r="L90" i="4"/>
  <c r="J90" i="4"/>
  <c r="N90" i="4" s="1"/>
  <c r="I90" i="4"/>
  <c r="K90" i="4" s="1"/>
  <c r="C90" i="4"/>
  <c r="B90" i="4"/>
  <c r="O89" i="4"/>
  <c r="M89" i="4"/>
  <c r="L89" i="4"/>
  <c r="J89" i="4"/>
  <c r="N89" i="4" s="1"/>
  <c r="I89" i="4"/>
  <c r="K89" i="4" s="1"/>
  <c r="C89" i="4"/>
  <c r="B89" i="4"/>
  <c r="O88" i="4"/>
  <c r="N88" i="4"/>
  <c r="M88" i="4"/>
  <c r="L88" i="4"/>
  <c r="K88" i="4"/>
  <c r="J88" i="4"/>
  <c r="I88" i="4"/>
  <c r="C88" i="4"/>
  <c r="B88" i="4"/>
  <c r="O87" i="4"/>
  <c r="N87" i="4"/>
  <c r="M87" i="4"/>
  <c r="L87" i="4"/>
  <c r="K87" i="4"/>
  <c r="J87" i="4"/>
  <c r="I87" i="4"/>
  <c r="C87" i="4"/>
  <c r="B87" i="4"/>
  <c r="O86" i="4"/>
  <c r="M86" i="4"/>
  <c r="L86" i="4"/>
  <c r="J86" i="4"/>
  <c r="N86" i="4" s="1"/>
  <c r="I86" i="4"/>
  <c r="K86" i="4" s="1"/>
  <c r="C86" i="4"/>
  <c r="B86" i="4"/>
  <c r="O85" i="4"/>
  <c r="N85" i="4"/>
  <c r="M85" i="4"/>
  <c r="L85" i="4"/>
  <c r="J85" i="4"/>
  <c r="I85" i="4"/>
  <c r="C85" i="4"/>
  <c r="B85" i="4"/>
  <c r="O84" i="4"/>
  <c r="M84" i="4"/>
  <c r="L84" i="4"/>
  <c r="J84" i="4"/>
  <c r="N84" i="4" s="1"/>
  <c r="I84" i="4"/>
  <c r="C84" i="4"/>
  <c r="B84" i="4"/>
  <c r="O83" i="4"/>
  <c r="M83" i="4"/>
  <c r="L83" i="4"/>
  <c r="K83" i="4"/>
  <c r="J83" i="4"/>
  <c r="N83" i="4" s="1"/>
  <c r="I83" i="4"/>
  <c r="C83" i="4"/>
  <c r="B83" i="4"/>
  <c r="O82" i="4"/>
  <c r="M82" i="4"/>
  <c r="L82" i="4"/>
  <c r="J82" i="4"/>
  <c r="N82" i="4" s="1"/>
  <c r="I82" i="4"/>
  <c r="K82" i="4" s="1"/>
  <c r="C82" i="4"/>
  <c r="B82" i="4"/>
  <c r="O81" i="4"/>
  <c r="M81" i="4"/>
  <c r="L81" i="4"/>
  <c r="J81" i="4"/>
  <c r="N81" i="4" s="1"/>
  <c r="I81" i="4"/>
  <c r="K81" i="4" s="1"/>
  <c r="C81" i="4"/>
  <c r="B81" i="4"/>
  <c r="O80" i="4"/>
  <c r="N80" i="4"/>
  <c r="M80" i="4"/>
  <c r="L80" i="4"/>
  <c r="K80" i="4"/>
  <c r="J80" i="4"/>
  <c r="I80" i="4"/>
  <c r="C80" i="4"/>
  <c r="B80" i="4"/>
  <c r="O79" i="4"/>
  <c r="N79" i="4"/>
  <c r="M79" i="4"/>
  <c r="L79" i="4"/>
  <c r="K79" i="4"/>
  <c r="J79" i="4"/>
  <c r="I79" i="4"/>
  <c r="C79" i="4"/>
  <c r="B79" i="4"/>
  <c r="O78" i="4"/>
  <c r="M78" i="4"/>
  <c r="L78" i="4"/>
  <c r="J78" i="4"/>
  <c r="N78" i="4" s="1"/>
  <c r="I78" i="4"/>
  <c r="C78" i="4"/>
  <c r="B78" i="4"/>
  <c r="O77" i="4"/>
  <c r="N77" i="4"/>
  <c r="M77" i="4"/>
  <c r="L77" i="4"/>
  <c r="J77" i="4"/>
  <c r="I77" i="4"/>
  <c r="C77" i="4"/>
  <c r="B77" i="4"/>
  <c r="O76" i="4"/>
  <c r="M76" i="4"/>
  <c r="L76" i="4"/>
  <c r="J76" i="4"/>
  <c r="N76" i="4" s="1"/>
  <c r="I76" i="4"/>
  <c r="C76" i="4"/>
  <c r="B76" i="4"/>
  <c r="O75" i="4"/>
  <c r="M75" i="4"/>
  <c r="L75" i="4"/>
  <c r="K75" i="4"/>
  <c r="J75" i="4"/>
  <c r="N75" i="4" s="1"/>
  <c r="I75" i="4"/>
  <c r="C75" i="4"/>
  <c r="B75" i="4"/>
  <c r="O74" i="4"/>
  <c r="N74" i="4"/>
  <c r="M74" i="4"/>
  <c r="L74" i="4"/>
  <c r="J74" i="4"/>
  <c r="I74" i="4"/>
  <c r="K74" i="4" s="1"/>
  <c r="C74" i="4"/>
  <c r="B74" i="4"/>
  <c r="O73" i="4"/>
  <c r="M73" i="4"/>
  <c r="L73" i="4"/>
  <c r="J73" i="4"/>
  <c r="N73" i="4" s="1"/>
  <c r="I73" i="4"/>
  <c r="K73" i="4" s="1"/>
  <c r="C73" i="4"/>
  <c r="B73" i="4"/>
  <c r="O72" i="4"/>
  <c r="N72" i="4"/>
  <c r="M72" i="4"/>
  <c r="L72" i="4"/>
  <c r="K72" i="4"/>
  <c r="J72" i="4"/>
  <c r="I72" i="4"/>
  <c r="C72" i="4"/>
  <c r="B72" i="4"/>
  <c r="P71" i="4"/>
  <c r="O71" i="4"/>
  <c r="N71" i="4"/>
  <c r="M71" i="4"/>
  <c r="L71" i="4"/>
  <c r="K71" i="4"/>
  <c r="J71" i="4"/>
  <c r="I71" i="4"/>
  <c r="C71" i="4"/>
  <c r="B71" i="4"/>
  <c r="O70" i="4"/>
  <c r="M70" i="4"/>
  <c r="L70" i="4"/>
  <c r="K70" i="4"/>
  <c r="J70" i="4"/>
  <c r="N70" i="4" s="1"/>
  <c r="I70" i="4"/>
  <c r="C70" i="4"/>
  <c r="B70" i="4"/>
  <c r="O69" i="4"/>
  <c r="N69" i="4"/>
  <c r="M69" i="4"/>
  <c r="L69" i="4"/>
  <c r="J69" i="4"/>
  <c r="I69" i="4"/>
  <c r="C69" i="4"/>
  <c r="B69" i="4"/>
  <c r="P68" i="4"/>
  <c r="O68" i="4"/>
  <c r="M68" i="4"/>
  <c r="L68" i="4"/>
  <c r="J68" i="4"/>
  <c r="N68" i="4" s="1"/>
  <c r="I68" i="4"/>
  <c r="P67" i="4" s="1"/>
  <c r="C68" i="4"/>
  <c r="B68" i="4"/>
  <c r="O67" i="4"/>
  <c r="M67" i="4"/>
  <c r="L67" i="4"/>
  <c r="J67" i="4"/>
  <c r="N67" i="4" s="1"/>
  <c r="I67" i="4"/>
  <c r="C67" i="4"/>
  <c r="B67" i="4"/>
  <c r="P66" i="4"/>
  <c r="O66" i="4"/>
  <c r="N66" i="4"/>
  <c r="M66" i="4"/>
  <c r="L66" i="4"/>
  <c r="J66" i="4"/>
  <c r="I66" i="4"/>
  <c r="K66" i="4" s="1"/>
  <c r="C66" i="4"/>
  <c r="B66" i="4"/>
  <c r="P65" i="4"/>
  <c r="O65" i="4"/>
  <c r="M65" i="4"/>
  <c r="L65" i="4"/>
  <c r="J65" i="4"/>
  <c r="N65" i="4" s="1"/>
  <c r="I65" i="4"/>
  <c r="K65" i="4" s="1"/>
  <c r="C65" i="4"/>
  <c r="B65" i="4"/>
  <c r="O64" i="4"/>
  <c r="N64" i="4"/>
  <c r="M64" i="4"/>
  <c r="L64" i="4"/>
  <c r="K64" i="4"/>
  <c r="J64" i="4"/>
  <c r="I64" i="4"/>
  <c r="C64" i="4"/>
  <c r="B64" i="4"/>
  <c r="O63" i="4"/>
  <c r="N63" i="4"/>
  <c r="M63" i="4"/>
  <c r="L63" i="4"/>
  <c r="J63" i="4"/>
  <c r="I63" i="4"/>
  <c r="K63" i="4" s="1"/>
  <c r="C63" i="4"/>
  <c r="B63" i="4"/>
  <c r="O62" i="4"/>
  <c r="N62" i="4"/>
  <c r="M62" i="4"/>
  <c r="L62" i="4"/>
  <c r="K62" i="4"/>
  <c r="J62" i="4"/>
  <c r="I62" i="4"/>
  <c r="C62" i="4"/>
  <c r="B62" i="4"/>
  <c r="O61" i="4"/>
  <c r="N61" i="4"/>
  <c r="M61" i="4"/>
  <c r="L61" i="4"/>
  <c r="J61" i="4"/>
  <c r="I61" i="4"/>
  <c r="P61" i="4" s="1"/>
  <c r="C61" i="4"/>
  <c r="B61" i="4"/>
  <c r="O60" i="4"/>
  <c r="M60" i="4"/>
  <c r="L60" i="4"/>
  <c r="J60" i="4"/>
  <c r="N60" i="4" s="1"/>
  <c r="I60" i="4"/>
  <c r="C60" i="4"/>
  <c r="B60" i="4"/>
  <c r="O59" i="4"/>
  <c r="M59" i="4"/>
  <c r="L59" i="4"/>
  <c r="J59" i="4"/>
  <c r="N59" i="4" s="1"/>
  <c r="I59" i="4"/>
  <c r="C59" i="4"/>
  <c r="B59" i="4"/>
  <c r="O58" i="4"/>
  <c r="N58" i="4"/>
  <c r="M58" i="4"/>
  <c r="L58" i="4"/>
  <c r="J58" i="4"/>
  <c r="I58" i="4"/>
  <c r="K58" i="4" s="1"/>
  <c r="C58" i="4"/>
  <c r="B58" i="4"/>
  <c r="O57" i="4"/>
  <c r="M57" i="4"/>
  <c r="L57" i="4"/>
  <c r="J57" i="4"/>
  <c r="N57" i="4" s="1"/>
  <c r="I57" i="4"/>
  <c r="K57" i="4" s="1"/>
  <c r="C57" i="4"/>
  <c r="B57" i="4"/>
  <c r="P56" i="4"/>
  <c r="O56" i="4"/>
  <c r="N56" i="4"/>
  <c r="M56" i="4"/>
  <c r="L56" i="4"/>
  <c r="K56" i="4"/>
  <c r="J56" i="4"/>
  <c r="I56" i="4"/>
  <c r="C56" i="4"/>
  <c r="B56" i="4"/>
  <c r="O55" i="4"/>
  <c r="N55" i="4"/>
  <c r="M55" i="4"/>
  <c r="L55" i="4"/>
  <c r="K55" i="4"/>
  <c r="J55" i="4"/>
  <c r="I55" i="4"/>
  <c r="C55" i="4"/>
  <c r="B55" i="4"/>
  <c r="O54" i="4"/>
  <c r="N54" i="4"/>
  <c r="M54" i="4"/>
  <c r="L54" i="4"/>
  <c r="J54" i="4"/>
  <c r="I54" i="4"/>
  <c r="C54" i="4"/>
  <c r="B54" i="4"/>
  <c r="P53" i="4"/>
  <c r="O53" i="4"/>
  <c r="N53" i="4"/>
  <c r="M53" i="4"/>
  <c r="L53" i="4"/>
  <c r="J53" i="4"/>
  <c r="I53" i="4"/>
  <c r="K52" i="4" s="1"/>
  <c r="C53" i="4"/>
  <c r="B53" i="4"/>
  <c r="O52" i="4"/>
  <c r="M52" i="4"/>
  <c r="L52" i="4"/>
  <c r="J52" i="4"/>
  <c r="N52" i="4" s="1"/>
  <c r="I52" i="4"/>
  <c r="C52" i="4"/>
  <c r="B52" i="4"/>
  <c r="O51" i="4"/>
  <c r="M51" i="4"/>
  <c r="L51" i="4"/>
  <c r="J51" i="4"/>
  <c r="N51" i="4" s="1"/>
  <c r="I51" i="4"/>
  <c r="C51" i="4"/>
  <c r="B51" i="4"/>
  <c r="O50" i="4"/>
  <c r="N50" i="4"/>
  <c r="M50" i="4"/>
  <c r="L50" i="4"/>
  <c r="J50" i="4"/>
  <c r="I50" i="4"/>
  <c r="K50" i="4" s="1"/>
  <c r="C50" i="4"/>
  <c r="B50" i="4"/>
  <c r="O49" i="4"/>
  <c r="M49" i="4"/>
  <c r="L49" i="4"/>
  <c r="J49" i="4"/>
  <c r="N49" i="4" s="1"/>
  <c r="I49" i="4"/>
  <c r="K49" i="4" s="1"/>
  <c r="C49" i="4"/>
  <c r="B49" i="4"/>
  <c r="P48" i="4"/>
  <c r="O48" i="4"/>
  <c r="N48" i="4"/>
  <c r="M48" i="4"/>
  <c r="L48" i="4"/>
  <c r="K48" i="4"/>
  <c r="J48" i="4"/>
  <c r="I48" i="4"/>
  <c r="C48" i="4"/>
  <c r="B48" i="4"/>
  <c r="O47" i="4"/>
  <c r="N47" i="4"/>
  <c r="M47" i="4"/>
  <c r="L47" i="4"/>
  <c r="K47" i="4"/>
  <c r="J47" i="4"/>
  <c r="I47" i="4"/>
  <c r="C47" i="4"/>
  <c r="B47" i="4"/>
  <c r="O46" i="4"/>
  <c r="N46" i="4"/>
  <c r="M46" i="4"/>
  <c r="L46" i="4"/>
  <c r="J46" i="4"/>
  <c r="I46" i="4"/>
  <c r="C46" i="4"/>
  <c r="B46" i="4"/>
  <c r="P45" i="4"/>
  <c r="O45" i="4"/>
  <c r="N45" i="4"/>
  <c r="M45" i="4"/>
  <c r="L45" i="4"/>
  <c r="J45" i="4"/>
  <c r="I45" i="4"/>
  <c r="K44" i="4" s="1"/>
  <c r="C45" i="4"/>
  <c r="B45" i="4"/>
  <c r="O44" i="4"/>
  <c r="M44" i="4"/>
  <c r="L44" i="4"/>
  <c r="J44" i="4"/>
  <c r="N44" i="4" s="1"/>
  <c r="I44" i="4"/>
  <c r="C44" i="4"/>
  <c r="B44" i="4"/>
  <c r="O43" i="4"/>
  <c r="M43" i="4"/>
  <c r="L43" i="4"/>
  <c r="J43" i="4"/>
  <c r="N43" i="4" s="1"/>
  <c r="I43" i="4"/>
  <c r="C43" i="4"/>
  <c r="B43" i="4"/>
  <c r="O42" i="4"/>
  <c r="N42" i="4"/>
  <c r="M42" i="4"/>
  <c r="L42" i="4"/>
  <c r="J42" i="4"/>
  <c r="I42" i="4"/>
  <c r="K42" i="4" s="1"/>
  <c r="C42" i="4"/>
  <c r="B42" i="4"/>
  <c r="O41" i="4"/>
  <c r="M41" i="4"/>
  <c r="L41" i="4"/>
  <c r="J41" i="4"/>
  <c r="N41" i="4" s="1"/>
  <c r="I41" i="4"/>
  <c r="K41" i="4" s="1"/>
  <c r="C41" i="4"/>
  <c r="B41" i="4"/>
  <c r="P40" i="4"/>
  <c r="O40" i="4"/>
  <c r="N40" i="4"/>
  <c r="M40" i="4"/>
  <c r="L40" i="4"/>
  <c r="K40" i="4"/>
  <c r="J40" i="4"/>
  <c r="I40" i="4"/>
  <c r="C40" i="4"/>
  <c r="B40" i="4"/>
  <c r="O39" i="4"/>
  <c r="N39" i="4"/>
  <c r="M39" i="4"/>
  <c r="L39" i="4"/>
  <c r="K39" i="4"/>
  <c r="J39" i="4"/>
  <c r="I39" i="4"/>
  <c r="C39" i="4"/>
  <c r="B39" i="4"/>
  <c r="O38" i="4"/>
  <c r="N38" i="4"/>
  <c r="M38" i="4"/>
  <c r="L38" i="4"/>
  <c r="J38" i="4"/>
  <c r="I38" i="4"/>
  <c r="C38" i="4"/>
  <c r="B38" i="4"/>
  <c r="P37" i="4"/>
  <c r="O37" i="4"/>
  <c r="N37" i="4"/>
  <c r="M37" i="4"/>
  <c r="L37" i="4"/>
  <c r="J37" i="4"/>
  <c r="I37" i="4"/>
  <c r="C37" i="4"/>
  <c r="B37" i="4"/>
  <c r="O36" i="4"/>
  <c r="M36" i="4"/>
  <c r="L36" i="4"/>
  <c r="J36" i="4"/>
  <c r="N36" i="4" s="1"/>
  <c r="I36" i="4"/>
  <c r="Q32" i="4" s="1"/>
  <c r="C36" i="4"/>
  <c r="B36" i="4"/>
  <c r="O35" i="4"/>
  <c r="M35" i="4"/>
  <c r="L35" i="4"/>
  <c r="J35" i="4"/>
  <c r="N35" i="4" s="1"/>
  <c r="I35" i="4"/>
  <c r="C35" i="4"/>
  <c r="B35" i="4"/>
  <c r="O34" i="4"/>
  <c r="N34" i="4"/>
  <c r="M34" i="4"/>
  <c r="L34" i="4"/>
  <c r="J34" i="4"/>
  <c r="I34" i="4"/>
  <c r="K34" i="4" s="1"/>
  <c r="C34" i="4"/>
  <c r="B34" i="4"/>
  <c r="O33" i="4"/>
  <c r="M33" i="4"/>
  <c r="L33" i="4"/>
  <c r="J33" i="4"/>
  <c r="N33" i="4" s="1"/>
  <c r="I33" i="4"/>
  <c r="K33" i="4" s="1"/>
  <c r="C33" i="4"/>
  <c r="B33" i="4"/>
  <c r="O32" i="4"/>
  <c r="N32" i="4"/>
  <c r="M32" i="4"/>
  <c r="L32" i="4"/>
  <c r="J32" i="4"/>
  <c r="I32" i="4"/>
  <c r="Q159" i="4" s="1"/>
  <c r="C32" i="4"/>
  <c r="B32" i="4"/>
  <c r="O31" i="4"/>
  <c r="N31" i="4"/>
  <c r="M31" i="4"/>
  <c r="L31" i="4"/>
  <c r="J31" i="4"/>
  <c r="I31" i="4"/>
  <c r="C31" i="4"/>
  <c r="B31" i="4"/>
  <c r="O30" i="4"/>
  <c r="N30" i="4"/>
  <c r="M30" i="4"/>
  <c r="L30" i="4"/>
  <c r="J30" i="4"/>
  <c r="I30" i="4"/>
  <c r="C30" i="4"/>
  <c r="B30" i="4"/>
  <c r="O29" i="4"/>
  <c r="M29" i="4"/>
  <c r="L29" i="4"/>
  <c r="J29" i="4"/>
  <c r="N29" i="4" s="1"/>
  <c r="I29" i="4"/>
  <c r="P27" i="4" s="1"/>
  <c r="C29" i="4"/>
  <c r="B29" i="4"/>
  <c r="O28" i="4"/>
  <c r="M28" i="4"/>
  <c r="L28" i="4"/>
  <c r="J28" i="4"/>
  <c r="N28" i="4" s="1"/>
  <c r="I28" i="4"/>
  <c r="C28" i="4"/>
  <c r="B28" i="4"/>
  <c r="O27" i="4"/>
  <c r="N27" i="4"/>
  <c r="M27" i="4"/>
  <c r="L27" i="4"/>
  <c r="K27" i="4"/>
  <c r="J27" i="4"/>
  <c r="I27" i="4"/>
  <c r="C27" i="4"/>
  <c r="B27" i="4"/>
  <c r="O26" i="4"/>
  <c r="M26" i="4"/>
  <c r="L26" i="4"/>
  <c r="J26" i="4"/>
  <c r="N26" i="4" s="1"/>
  <c r="I26" i="4"/>
  <c r="K26" i="4" s="1"/>
  <c r="C26" i="4"/>
  <c r="B26" i="4"/>
  <c r="O25" i="4"/>
  <c r="M25" i="4"/>
  <c r="L25" i="4"/>
  <c r="K25" i="4"/>
  <c r="J25" i="4"/>
  <c r="N25" i="4" s="1"/>
  <c r="I25" i="4"/>
  <c r="P25" i="4" s="1"/>
  <c r="C25" i="4"/>
  <c r="B25" i="4"/>
  <c r="O24" i="4"/>
  <c r="N24" i="4"/>
  <c r="M24" i="4"/>
  <c r="L24" i="4"/>
  <c r="J24" i="4"/>
  <c r="I24" i="4"/>
  <c r="C24" i="4"/>
  <c r="B24" i="4"/>
  <c r="P23" i="4"/>
  <c r="O23" i="4"/>
  <c r="M23" i="4"/>
  <c r="L23" i="4"/>
  <c r="J23" i="4"/>
  <c r="N23" i="4" s="1"/>
  <c r="I23" i="4"/>
  <c r="P21" i="4" s="1"/>
  <c r="C23" i="4"/>
  <c r="B23" i="4"/>
  <c r="O22" i="4"/>
  <c r="M22" i="4"/>
  <c r="L22" i="4"/>
  <c r="J22" i="4"/>
  <c r="N22" i="4" s="1"/>
  <c r="I22" i="4"/>
  <c r="C22" i="4"/>
  <c r="B22" i="4"/>
  <c r="O21" i="4"/>
  <c r="N21" i="4"/>
  <c r="M21" i="4"/>
  <c r="L21" i="4"/>
  <c r="J21" i="4"/>
  <c r="I21" i="4"/>
  <c r="C21" i="4"/>
  <c r="B21" i="4"/>
  <c r="O20" i="4"/>
  <c r="M20" i="4"/>
  <c r="L20" i="4"/>
  <c r="J20" i="4"/>
  <c r="N20" i="4" s="1"/>
  <c r="I20" i="4"/>
  <c r="K20" i="4" s="1"/>
  <c r="C20" i="4"/>
  <c r="B20" i="4"/>
  <c r="P19" i="4"/>
  <c r="O19" i="4"/>
  <c r="M19" i="4"/>
  <c r="L19" i="4"/>
  <c r="J19" i="4"/>
  <c r="N19" i="4" s="1"/>
  <c r="I19" i="4"/>
  <c r="C19" i="4"/>
  <c r="B19" i="4"/>
  <c r="O18" i="4"/>
  <c r="N18" i="4"/>
  <c r="M18" i="4"/>
  <c r="L18" i="4"/>
  <c r="K18" i="4"/>
  <c r="J18" i="4"/>
  <c r="I18" i="4"/>
  <c r="C18" i="4"/>
  <c r="B18" i="4"/>
  <c r="O17" i="4"/>
  <c r="N17" i="4"/>
  <c r="M17" i="4"/>
  <c r="L17" i="4"/>
  <c r="J17" i="4"/>
  <c r="I17" i="4"/>
  <c r="K17" i="4" s="1"/>
  <c r="C17" i="4"/>
  <c r="B17" i="4"/>
  <c r="Q16" i="4"/>
  <c r="O16" i="4"/>
  <c r="N16" i="4"/>
  <c r="M16" i="4"/>
  <c r="L16" i="4"/>
  <c r="J16" i="4"/>
  <c r="I16" i="4"/>
  <c r="Q336" i="4" s="1"/>
  <c r="C16" i="4"/>
  <c r="B16" i="4"/>
  <c r="O15" i="4"/>
  <c r="N15" i="4"/>
  <c r="M15" i="4"/>
  <c r="L15" i="4"/>
  <c r="J15" i="4"/>
  <c r="I15" i="4"/>
  <c r="C15" i="4"/>
  <c r="B15" i="4"/>
  <c r="O14" i="4"/>
  <c r="N14" i="4"/>
  <c r="M14" i="4"/>
  <c r="L14" i="4"/>
  <c r="J14" i="4"/>
  <c r="I14" i="4"/>
  <c r="K14" i="4" s="1"/>
  <c r="C14" i="4"/>
  <c r="B14" i="4"/>
  <c r="O13" i="4"/>
  <c r="M13" i="4"/>
  <c r="L13" i="4"/>
  <c r="J13" i="4"/>
  <c r="N13" i="4" s="1"/>
  <c r="I13" i="4"/>
  <c r="K12" i="4" s="1"/>
  <c r="C13" i="4"/>
  <c r="B13" i="4"/>
  <c r="O12" i="4"/>
  <c r="M12" i="4"/>
  <c r="L12" i="4"/>
  <c r="J12" i="4"/>
  <c r="N12" i="4" s="1"/>
  <c r="I12" i="4"/>
  <c r="C12" i="4"/>
  <c r="B12" i="4"/>
  <c r="O11" i="4"/>
  <c r="N11" i="4"/>
  <c r="M11" i="4"/>
  <c r="L11" i="4"/>
  <c r="K11" i="4"/>
  <c r="J11" i="4"/>
  <c r="I11" i="4"/>
  <c r="C11" i="4"/>
  <c r="B11" i="4"/>
  <c r="O10" i="4"/>
  <c r="M10" i="4"/>
  <c r="L10" i="4"/>
  <c r="J10" i="4"/>
  <c r="N10" i="4" s="1"/>
  <c r="I10" i="4"/>
  <c r="K10" i="4" s="1"/>
  <c r="C10" i="4"/>
  <c r="B10" i="4"/>
  <c r="O9" i="4"/>
  <c r="M9" i="4"/>
  <c r="L9" i="4"/>
  <c r="K9" i="4"/>
  <c r="J9" i="4"/>
  <c r="N9" i="4" s="1"/>
  <c r="I9" i="4"/>
  <c r="P9" i="4" s="1"/>
  <c r="C9" i="4"/>
  <c r="B9" i="4"/>
  <c r="O8" i="4"/>
  <c r="N8" i="4"/>
  <c r="M8" i="4"/>
  <c r="L8" i="4"/>
  <c r="J8" i="4"/>
  <c r="I8" i="4"/>
  <c r="C8" i="4"/>
  <c r="B8" i="4"/>
  <c r="P7" i="4"/>
  <c r="O7" i="4"/>
  <c r="M7" i="4"/>
  <c r="L7" i="4"/>
  <c r="J7" i="4"/>
  <c r="N7" i="4" s="1"/>
  <c r="I7" i="4"/>
  <c r="C7" i="4"/>
  <c r="B7" i="4"/>
  <c r="O6" i="4"/>
  <c r="M6" i="4"/>
  <c r="L6" i="4"/>
  <c r="K6" i="4"/>
  <c r="J6" i="4"/>
  <c r="N6" i="4" s="1"/>
  <c r="I6" i="4"/>
  <c r="C6" i="4"/>
  <c r="B6" i="4"/>
  <c r="O5" i="4"/>
  <c r="N5" i="4"/>
  <c r="M5" i="4"/>
  <c r="L5" i="4"/>
  <c r="J5" i="4"/>
  <c r="I5" i="4"/>
  <c r="C5" i="4"/>
  <c r="B5" i="4"/>
  <c r="P4" i="4"/>
  <c r="O4" i="4"/>
  <c r="M4" i="4"/>
  <c r="L4" i="4"/>
  <c r="J4" i="4"/>
  <c r="N4" i="4" s="1"/>
  <c r="I4" i="4"/>
  <c r="K4" i="4" s="1"/>
  <c r="C4" i="4"/>
  <c r="B4" i="4"/>
  <c r="P3" i="4"/>
  <c r="P2" i="4" s="1"/>
  <c r="O3" i="4"/>
  <c r="M3" i="4"/>
  <c r="L3" i="4"/>
  <c r="K3" i="4"/>
  <c r="J3" i="4"/>
  <c r="N3" i="4" s="1"/>
  <c r="I3" i="4"/>
  <c r="C3" i="4"/>
  <c r="B3" i="4"/>
  <c r="O2" i="4"/>
  <c r="N2" i="4"/>
  <c r="M2" i="4"/>
  <c r="L2" i="4"/>
  <c r="K2" i="4"/>
  <c r="J2" i="4"/>
  <c r="I2" i="4"/>
  <c r="C2" i="4"/>
  <c r="B2" i="4"/>
  <c r="Q13" i="4" l="1"/>
  <c r="P323" i="4"/>
  <c r="P35" i="4"/>
  <c r="P36" i="4"/>
  <c r="P34" i="4"/>
  <c r="K35" i="4"/>
  <c r="K36" i="4"/>
  <c r="P33" i="4"/>
  <c r="Q226" i="4"/>
  <c r="Q672" i="4"/>
  <c r="P31" i="4"/>
  <c r="K32" i="4"/>
  <c r="P26" i="4"/>
  <c r="P32" i="4"/>
  <c r="K31" i="4"/>
  <c r="P43" i="4"/>
  <c r="P44" i="4"/>
  <c r="P41" i="4"/>
  <c r="P42" i="4"/>
  <c r="K43" i="4"/>
  <c r="Q134" i="4"/>
  <c r="Q141" i="4"/>
  <c r="Q148" i="4"/>
  <c r="P177" i="4"/>
  <c r="P178" i="4"/>
  <c r="K177" i="4"/>
  <c r="Q238" i="4"/>
  <c r="P257" i="4"/>
  <c r="P255" i="4"/>
  <c r="P258" i="4"/>
  <c r="K257" i="4"/>
  <c r="P216" i="4"/>
  <c r="K215" i="4"/>
  <c r="K216" i="4"/>
  <c r="P215" i="4"/>
  <c r="K326" i="4"/>
  <c r="P326" i="4"/>
  <c r="P325" i="4"/>
  <c r="Q86" i="4"/>
  <c r="Q200" i="4"/>
  <c r="P15" i="4"/>
  <c r="K16" i="4"/>
  <c r="P16" i="4"/>
  <c r="K15" i="4"/>
  <c r="P28" i="4"/>
  <c r="P51" i="4"/>
  <c r="P52" i="4"/>
  <c r="K51" i="4"/>
  <c r="P49" i="4"/>
  <c r="Q299" i="4"/>
  <c r="P12" i="4"/>
  <c r="P59" i="4"/>
  <c r="P60" i="4"/>
  <c r="P57" i="4"/>
  <c r="K60" i="4"/>
  <c r="K59" i="4"/>
  <c r="P91" i="4"/>
  <c r="P90" i="4"/>
  <c r="P92" i="4"/>
  <c r="P89" i="4"/>
  <c r="P88" i="4"/>
  <c r="K91" i="4"/>
  <c r="P87" i="4"/>
  <c r="K97" i="4"/>
  <c r="P97" i="4"/>
  <c r="P96" i="4"/>
  <c r="P95" i="4"/>
  <c r="P176" i="4"/>
  <c r="K175" i="4"/>
  <c r="K176" i="4"/>
  <c r="P175" i="4"/>
  <c r="Q332" i="4"/>
  <c r="P85" i="4"/>
  <c r="K84" i="4"/>
  <c r="P79" i="4"/>
  <c r="P84" i="4"/>
  <c r="P81" i="4"/>
  <c r="P80" i="4"/>
  <c r="K96" i="4"/>
  <c r="Q108" i="4"/>
  <c r="Q187" i="4"/>
  <c r="P196" i="4"/>
  <c r="K195" i="4"/>
  <c r="P191" i="4"/>
  <c r="K196" i="4"/>
  <c r="Q61" i="4"/>
  <c r="Q179" i="4"/>
  <c r="Q101" i="4"/>
  <c r="P133" i="4"/>
  <c r="K132" i="4"/>
  <c r="P132" i="4"/>
  <c r="P147" i="4"/>
  <c r="K146" i="4"/>
  <c r="P146" i="4"/>
  <c r="P143" i="4"/>
  <c r="K155" i="4"/>
  <c r="P151" i="4"/>
  <c r="P155" i="4"/>
  <c r="P154" i="4"/>
  <c r="P153" i="4"/>
  <c r="P297" i="4"/>
  <c r="P291" i="4"/>
  <c r="P294" i="4"/>
  <c r="P293" i="4"/>
  <c r="K296" i="4"/>
  <c r="Q320" i="4"/>
  <c r="P331" i="4"/>
  <c r="K330" i="4"/>
  <c r="Q29" i="4"/>
  <c r="P78" i="4"/>
  <c r="K77" i="4"/>
  <c r="P76" i="4"/>
  <c r="K78" i="4"/>
  <c r="P73" i="4"/>
  <c r="P72" i="4"/>
  <c r="Q113" i="4"/>
  <c r="P302" i="4"/>
  <c r="P301" i="4"/>
  <c r="P300" i="4"/>
  <c r="K302" i="4"/>
  <c r="P328" i="4"/>
  <c r="K327" i="4"/>
  <c r="P327" i="4"/>
  <c r="Q378" i="4"/>
  <c r="Q379" i="4"/>
  <c r="Q386" i="4"/>
  <c r="Q394" i="4"/>
  <c r="Q485" i="4"/>
  <c r="Q7" i="4"/>
  <c r="K28" i="4"/>
  <c r="Q45" i="4"/>
  <c r="P168" i="4"/>
  <c r="K167" i="4"/>
  <c r="K168" i="4"/>
  <c r="Q190" i="4"/>
  <c r="P254" i="4"/>
  <c r="Q262" i="4"/>
  <c r="P298" i="4"/>
  <c r="K297" i="4"/>
  <c r="Q308" i="4"/>
  <c r="Q321" i="4"/>
  <c r="P356" i="4"/>
  <c r="K355" i="4"/>
  <c r="K356" i="4"/>
  <c r="Q33" i="4"/>
  <c r="Q41" i="4"/>
  <c r="D7" i="5"/>
  <c r="D6" i="5"/>
  <c r="P6" i="4"/>
  <c r="K5" i="4"/>
  <c r="Q9" i="4"/>
  <c r="P13" i="4"/>
  <c r="P22" i="4"/>
  <c r="K21" i="4"/>
  <c r="Q25" i="4"/>
  <c r="P29" i="4"/>
  <c r="Q36" i="4"/>
  <c r="Q44" i="4"/>
  <c r="Q52" i="4"/>
  <c r="Q60" i="4"/>
  <c r="P64" i="4"/>
  <c r="K67" i="4"/>
  <c r="P70" i="4"/>
  <c r="K69" i="4"/>
  <c r="P77" i="4"/>
  <c r="K76" i="4"/>
  <c r="Q78" i="4"/>
  <c r="P83" i="4"/>
  <c r="P82" i="4"/>
  <c r="Q93" i="4"/>
  <c r="Q100" i="4"/>
  <c r="Q105" i="4"/>
  <c r="P112" i="4"/>
  <c r="P113" i="4"/>
  <c r="P126" i="4"/>
  <c r="K125" i="4"/>
  <c r="P131" i="4"/>
  <c r="P130" i="4"/>
  <c r="Q140" i="4"/>
  <c r="Q158" i="4"/>
  <c r="P174" i="4"/>
  <c r="P173" i="4"/>
  <c r="K174" i="4"/>
  <c r="P172" i="4"/>
  <c r="Q178" i="4"/>
  <c r="K182" i="4"/>
  <c r="P182" i="4"/>
  <c r="P186" i="4"/>
  <c r="P187" i="4"/>
  <c r="K193" i="4"/>
  <c r="P195" i="4"/>
  <c r="K194" i="4"/>
  <c r="Q196" i="4"/>
  <c r="Q207" i="4"/>
  <c r="P217" i="4"/>
  <c r="P224" i="4"/>
  <c r="K223" i="4"/>
  <c r="K224" i="4"/>
  <c r="Q247" i="4"/>
  <c r="Q258" i="4"/>
  <c r="P265" i="4"/>
  <c r="P272" i="4"/>
  <c r="K271" i="4"/>
  <c r="K272" i="4"/>
  <c r="P271" i="4"/>
  <c r="P269" i="4"/>
  <c r="Q275" i="4"/>
  <c r="K280" i="4"/>
  <c r="P283" i="4"/>
  <c r="K284" i="4"/>
  <c r="P282" i="4"/>
  <c r="Q286" i="4"/>
  <c r="P287" i="4"/>
  <c r="P296" i="4"/>
  <c r="K295" i="4"/>
  <c r="P295" i="4"/>
  <c r="Q298" i="4"/>
  <c r="P304" i="4"/>
  <c r="K303" i="4"/>
  <c r="P303" i="4"/>
  <c r="P307" i="4"/>
  <c r="Q318" i="4"/>
  <c r="P319" i="4"/>
  <c r="Q345" i="4"/>
  <c r="Q356" i="4"/>
  <c r="P369" i="4"/>
  <c r="P367" i="4"/>
  <c r="P365" i="4"/>
  <c r="Q376" i="4"/>
  <c r="Q410" i="4"/>
  <c r="K214" i="4"/>
  <c r="P214" i="4"/>
  <c r="Q14" i="4"/>
  <c r="Q26" i="4"/>
  <c r="Q57" i="4"/>
  <c r="Q62" i="4"/>
  <c r="P94" i="4"/>
  <c r="K93" i="4"/>
  <c r="P101" i="4"/>
  <c r="K100" i="4"/>
  <c r="Q102" i="4"/>
  <c r="P107" i="4"/>
  <c r="P106" i="4"/>
  <c r="Q117" i="4"/>
  <c r="P128" i="4"/>
  <c r="P129" i="4"/>
  <c r="P135" i="4"/>
  <c r="P141" i="4"/>
  <c r="K140" i="4"/>
  <c r="Q142" i="4"/>
  <c r="P158" i="4"/>
  <c r="P157" i="4"/>
  <c r="K158" i="4"/>
  <c r="P156" i="4"/>
  <c r="Q162" i="4"/>
  <c r="K166" i="4"/>
  <c r="P166" i="4"/>
  <c r="P170" i="4"/>
  <c r="P171" i="4"/>
  <c r="P179" i="4"/>
  <c r="K178" i="4"/>
  <c r="Q180" i="4"/>
  <c r="Q191" i="4"/>
  <c r="P201" i="4"/>
  <c r="P208" i="4"/>
  <c r="K207" i="4"/>
  <c r="K208" i="4"/>
  <c r="P209" i="4"/>
  <c r="Q211" i="4"/>
  <c r="Q219" i="4"/>
  <c r="Q242" i="4"/>
  <c r="K245" i="4"/>
  <c r="P248" i="4"/>
  <c r="K247" i="4"/>
  <c r="K248" i="4"/>
  <c r="P249" i="4"/>
  <c r="Q251" i="4"/>
  <c r="K258" i="4"/>
  <c r="P259" i="4"/>
  <c r="P263" i="4"/>
  <c r="P267" i="4"/>
  <c r="P268" i="4"/>
  <c r="P276" i="4"/>
  <c r="K275" i="4"/>
  <c r="Q278" i="4"/>
  <c r="P288" i="4"/>
  <c r="K287" i="4"/>
  <c r="K288" i="4"/>
  <c r="P299" i="4"/>
  <c r="K298" i="4"/>
  <c r="Q312" i="4"/>
  <c r="Q339" i="4"/>
  <c r="P345" i="4"/>
  <c r="K344" i="4"/>
  <c r="Q363" i="4"/>
  <c r="P377" i="4"/>
  <c r="P375" i="4"/>
  <c r="P390" i="4"/>
  <c r="P389" i="4"/>
  <c r="K391" i="4"/>
  <c r="K390" i="4"/>
  <c r="P391" i="4"/>
  <c r="P388" i="4"/>
  <c r="P414" i="4"/>
  <c r="Q418" i="4"/>
  <c r="Q424" i="4"/>
  <c r="P438" i="4"/>
  <c r="P443" i="4"/>
  <c r="K442" i="4"/>
  <c r="K463" i="4"/>
  <c r="P464" i="4"/>
  <c r="Q708" i="4"/>
  <c r="Q709" i="4"/>
  <c r="Q30" i="4"/>
  <c r="P24" i="4"/>
  <c r="P30" i="4"/>
  <c r="K29" i="4"/>
  <c r="Q38" i="4"/>
  <c r="Q46" i="4"/>
  <c r="P50" i="4"/>
  <c r="Q54" i="4"/>
  <c r="P58" i="4"/>
  <c r="P62" i="4"/>
  <c r="K61" i="4"/>
  <c r="Q68" i="4"/>
  <c r="Q73" i="4"/>
  <c r="P102" i="4"/>
  <c r="K101" i="4"/>
  <c r="P109" i="4"/>
  <c r="K108" i="4"/>
  <c r="Q110" i="4"/>
  <c r="P115" i="4"/>
  <c r="P114" i="4"/>
  <c r="Q124" i="4"/>
  <c r="Q129" i="4"/>
  <c r="K139" i="4"/>
  <c r="P142" i="4"/>
  <c r="K141" i="4"/>
  <c r="Q143" i="4"/>
  <c r="P160" i="4"/>
  <c r="K159" i="4"/>
  <c r="K160" i="4"/>
  <c r="P161" i="4"/>
  <c r="Q163" i="4"/>
  <c r="Q171" i="4"/>
  <c r="P180" i="4"/>
  <c r="K179" i="4"/>
  <c r="Q184" i="4"/>
  <c r="P200" i="4"/>
  <c r="K199" i="4"/>
  <c r="K200" i="4"/>
  <c r="K205" i="4"/>
  <c r="Q222" i="4"/>
  <c r="P223" i="4"/>
  <c r="K226" i="4"/>
  <c r="K238" i="4"/>
  <c r="P236" i="4"/>
  <c r="P235" i="4"/>
  <c r="P241" i="4"/>
  <c r="K242" i="4"/>
  <c r="Q268" i="4"/>
  <c r="Q281" i="4"/>
  <c r="Q314" i="4"/>
  <c r="Q324" i="4"/>
  <c r="P337" i="4"/>
  <c r="P335" i="4"/>
  <c r="P333" i="4"/>
  <c r="P344" i="4"/>
  <c r="K343" i="4"/>
  <c r="P343" i="4"/>
  <c r="Q350" i="4"/>
  <c r="P351" i="4"/>
  <c r="K374" i="4"/>
  <c r="P374" i="4"/>
  <c r="Q397" i="4"/>
  <c r="K434" i="4"/>
  <c r="P434" i="4"/>
  <c r="K433" i="4"/>
  <c r="P463" i="4"/>
  <c r="K462" i="4"/>
  <c r="P462" i="4"/>
  <c r="P461" i="4"/>
  <c r="Q37" i="4"/>
  <c r="Q65" i="4"/>
  <c r="Q116" i="4"/>
  <c r="Q210" i="4"/>
  <c r="K213" i="4"/>
  <c r="Q231" i="4"/>
  <c r="Q292" i="4"/>
  <c r="Q338" i="4"/>
  <c r="Q346" i="4"/>
  <c r="Q358" i="4"/>
  <c r="Q516" i="4"/>
  <c r="Q531" i="4"/>
  <c r="P629" i="4"/>
  <c r="K628" i="4"/>
  <c r="P624" i="4"/>
  <c r="Q4" i="4"/>
  <c r="Q10" i="4"/>
  <c r="Q20" i="4"/>
  <c r="Q49" i="4"/>
  <c r="P5" i="4"/>
  <c r="K7" i="4"/>
  <c r="P8" i="4"/>
  <c r="K19" i="4"/>
  <c r="Q21" i="4"/>
  <c r="Q24" i="4"/>
  <c r="Q34" i="4"/>
  <c r="P38" i="4"/>
  <c r="K37" i="4"/>
  <c r="Q42" i="4"/>
  <c r="P46" i="4"/>
  <c r="K45" i="4"/>
  <c r="Q50" i="4"/>
  <c r="P54" i="4"/>
  <c r="K53" i="4"/>
  <c r="Q58" i="4"/>
  <c r="P63" i="4"/>
  <c r="Q69" i="4"/>
  <c r="Q76" i="4"/>
  <c r="Q81" i="4"/>
  <c r="K94" i="4"/>
  <c r="P103" i="4"/>
  <c r="K107" i="4"/>
  <c r="P110" i="4"/>
  <c r="K109" i="4"/>
  <c r="P117" i="4"/>
  <c r="K116" i="4"/>
  <c r="Q118" i="4"/>
  <c r="Q125" i="4"/>
  <c r="P136" i="4"/>
  <c r="P152" i="4"/>
  <c r="K151" i="4"/>
  <c r="K152" i="4"/>
  <c r="K157" i="4"/>
  <c r="Q174" i="4"/>
  <c r="P190" i="4"/>
  <c r="P189" i="4"/>
  <c r="K190" i="4"/>
  <c r="P188" i="4"/>
  <c r="Q194" i="4"/>
  <c r="K198" i="4"/>
  <c r="P198" i="4"/>
  <c r="P202" i="4"/>
  <c r="K209" i="4"/>
  <c r="P211" i="4"/>
  <c r="K210" i="4"/>
  <c r="Q212" i="4"/>
  <c r="Q223" i="4"/>
  <c r="P228" i="4"/>
  <c r="K227" i="4"/>
  <c r="K228" i="4"/>
  <c r="K230" i="4"/>
  <c r="P230" i="4"/>
  <c r="P229" i="4"/>
  <c r="P233" i="4"/>
  <c r="P251" i="4"/>
  <c r="K250" i="4"/>
  <c r="Q252" i="4"/>
  <c r="Q256" i="4"/>
  <c r="Q264" i="4"/>
  <c r="Q271" i="4"/>
  <c r="P292" i="4"/>
  <c r="K291" i="4"/>
  <c r="K292" i="4"/>
  <c r="P290" i="4"/>
  <c r="Q295" i="4"/>
  <c r="Q305" i="4"/>
  <c r="K336" i="4"/>
  <c r="Q352" i="4"/>
  <c r="K358" i="4"/>
  <c r="P358" i="4"/>
  <c r="P360" i="4"/>
  <c r="K359" i="4"/>
  <c r="Q364" i="4"/>
  <c r="Q368" i="4"/>
  <c r="P432" i="4"/>
  <c r="P431" i="4"/>
  <c r="K431" i="4"/>
  <c r="P430" i="4"/>
  <c r="P433" i="4"/>
  <c r="K22" i="4"/>
  <c r="Q23" i="4"/>
  <c r="Q53" i="4"/>
  <c r="Q94" i="4"/>
  <c r="Q109" i="4"/>
  <c r="Q121" i="4"/>
  <c r="P134" i="4"/>
  <c r="K133" i="4"/>
  <c r="P139" i="4"/>
  <c r="P138" i="4"/>
  <c r="P148" i="4"/>
  <c r="K147" i="4"/>
  <c r="Q152" i="4"/>
  <c r="K246" i="4"/>
  <c r="P246" i="4"/>
  <c r="P245" i="4"/>
  <c r="Q250" i="4"/>
  <c r="K436" i="4"/>
  <c r="P437" i="4"/>
  <c r="K437" i="4"/>
  <c r="P435" i="4"/>
  <c r="P17" i="4"/>
  <c r="K23" i="4"/>
  <c r="D8" i="5"/>
  <c r="Q5" i="4"/>
  <c r="Q8" i="4"/>
  <c r="P11" i="4"/>
  <c r="Q15" i="4"/>
  <c r="P18" i="4"/>
  <c r="K30" i="4"/>
  <c r="Q31" i="4"/>
  <c r="P39" i="4"/>
  <c r="P47" i="4"/>
  <c r="P55" i="4"/>
  <c r="Q63" i="4"/>
  <c r="Q77" i="4"/>
  <c r="Q84" i="4"/>
  <c r="Q89" i="4"/>
  <c r="P111" i="4"/>
  <c r="P118" i="4"/>
  <c r="K117" i="4"/>
  <c r="P123" i="4"/>
  <c r="P122" i="4"/>
  <c r="Q132" i="4"/>
  <c r="Q137" i="4"/>
  <c r="Q146" i="4"/>
  <c r="K150" i="4"/>
  <c r="P150" i="4"/>
  <c r="P163" i="4"/>
  <c r="K162" i="4"/>
  <c r="Q164" i="4"/>
  <c r="Q175" i="4"/>
  <c r="P192" i="4"/>
  <c r="K191" i="4"/>
  <c r="K192" i="4"/>
  <c r="P193" i="4"/>
  <c r="Q195" i="4"/>
  <c r="Q203" i="4"/>
  <c r="P212" i="4"/>
  <c r="K211" i="4"/>
  <c r="Q216" i="4"/>
  <c r="Q244" i="4"/>
  <c r="P252" i="4"/>
  <c r="K251" i="4"/>
  <c r="K281" i="4"/>
  <c r="P279" i="4"/>
  <c r="Q284" i="4"/>
  <c r="P313" i="4"/>
  <c r="P311" i="4"/>
  <c r="P309" i="4"/>
  <c r="P324" i="4"/>
  <c r="K323" i="4"/>
  <c r="K324" i="4"/>
  <c r="Q326" i="4"/>
  <c r="P340" i="4"/>
  <c r="K339" i="4"/>
  <c r="K340" i="4"/>
  <c r="K342" i="4"/>
  <c r="P342" i="4"/>
  <c r="P341" i="4"/>
  <c r="Q353" i="4"/>
  <c r="K362" i="4"/>
  <c r="Q370" i="4"/>
  <c r="Q371" i="4"/>
  <c r="K402" i="4"/>
  <c r="P402" i="4"/>
  <c r="P399" i="4"/>
  <c r="P397" i="4"/>
  <c r="K401" i="4"/>
  <c r="P416" i="4"/>
  <c r="P413" i="4"/>
  <c r="K415" i="4"/>
  <c r="P417" i="4"/>
  <c r="K416" i="4"/>
  <c r="P428" i="4"/>
  <c r="K429" i="4"/>
  <c r="P429" i="4"/>
  <c r="K428" i="4"/>
  <c r="P644" i="4"/>
  <c r="K643" i="4"/>
  <c r="P640" i="4"/>
  <c r="P639" i="4"/>
  <c r="P643" i="4"/>
  <c r="P642" i="4"/>
  <c r="P10" i="4"/>
  <c r="P20" i="4"/>
  <c r="P86" i="4"/>
  <c r="K85" i="4"/>
  <c r="P93" i="4"/>
  <c r="K92" i="4"/>
  <c r="P99" i="4"/>
  <c r="P98" i="4"/>
  <c r="K104" i="4"/>
  <c r="P206" i="4"/>
  <c r="P205" i="4"/>
  <c r="K206" i="4"/>
  <c r="P204" i="4"/>
  <c r="Q227" i="4"/>
  <c r="P14" i="4"/>
  <c r="K13" i="4"/>
  <c r="Q17" i="4"/>
  <c r="Q715" i="4"/>
  <c r="Q707" i="4"/>
  <c r="Q699" i="4"/>
  <c r="Q691" i="4"/>
  <c r="Q683" i="4"/>
  <c r="Q675" i="4"/>
  <c r="Q667" i="4"/>
  <c r="Q659" i="4"/>
  <c r="Q651" i="4"/>
  <c r="Q643" i="4"/>
  <c r="Q635" i="4"/>
  <c r="Q627" i="4"/>
  <c r="Q619" i="4"/>
  <c r="Q611" i="4"/>
  <c r="Q603" i="4"/>
  <c r="Q595" i="4"/>
  <c r="Q587" i="4"/>
  <c r="Q579" i="4"/>
  <c r="Q571" i="4"/>
  <c r="Q563" i="4"/>
  <c r="Q555" i="4"/>
  <c r="Q714" i="4"/>
  <c r="Q706" i="4"/>
  <c r="Q698" i="4"/>
  <c r="Q690" i="4"/>
  <c r="Q682" i="4"/>
  <c r="Q674" i="4"/>
  <c r="Q666" i="4"/>
  <c r="Q658" i="4"/>
  <c r="Q650" i="4"/>
  <c r="Q642" i="4"/>
  <c r="Q634" i="4"/>
  <c r="Q626" i="4"/>
  <c r="Q618" i="4"/>
  <c r="Q610" i="4"/>
  <c r="Q602" i="4"/>
  <c r="Q594" i="4"/>
  <c r="Q586" i="4"/>
  <c r="Q578" i="4"/>
  <c r="Q570" i="4"/>
  <c r="Q562" i="4"/>
  <c r="Q554" i="4"/>
  <c r="D4" i="5"/>
  <c r="Q719" i="4"/>
  <c r="D3" i="5"/>
  <c r="Q721" i="4"/>
  <c r="Q713" i="4"/>
  <c r="Q705" i="4"/>
  <c r="Q697" i="4"/>
  <c r="Q689" i="4"/>
  <c r="Q681" i="4"/>
  <c r="Q673" i="4"/>
  <c r="Q665" i="4"/>
  <c r="Q657" i="4"/>
  <c r="Q649" i="4"/>
  <c r="Q641" i="4"/>
  <c r="Q633" i="4"/>
  <c r="Q625" i="4"/>
  <c r="Q617" i="4"/>
  <c r="Q718" i="4"/>
  <c r="Q710" i="4"/>
  <c r="Q702" i="4"/>
  <c r="Q694" i="4"/>
  <c r="Q686" i="4"/>
  <c r="Q678" i="4"/>
  <c r="Q670" i="4"/>
  <c r="Q662" i="4"/>
  <c r="Q654" i="4"/>
  <c r="Q646" i="4"/>
  <c r="Q638" i="4"/>
  <c r="Q630" i="4"/>
  <c r="Q622" i="4"/>
  <c r="Q614" i="4"/>
  <c r="Q606" i="4"/>
  <c r="Q712" i="4"/>
  <c r="Q700" i="4"/>
  <c r="Q693" i="4"/>
  <c r="Q663" i="4"/>
  <c r="Q648" i="4"/>
  <c r="Q636" i="4"/>
  <c r="Q629" i="4"/>
  <c r="Q604" i="4"/>
  <c r="Q596" i="4"/>
  <c r="Q588" i="4"/>
  <c r="Q580" i="4"/>
  <c r="Q572" i="4"/>
  <c r="Q564" i="4"/>
  <c r="Q556" i="4"/>
  <c r="Q549" i="4"/>
  <c r="Q541" i="4"/>
  <c r="Q533" i="4"/>
  <c r="Q525" i="4"/>
  <c r="Q517" i="4"/>
  <c r="Q704" i="4"/>
  <c r="Q692" i="4"/>
  <c r="Q685" i="4"/>
  <c r="Q655" i="4"/>
  <c r="Q640" i="4"/>
  <c r="Q628" i="4"/>
  <c r="Q621" i="4"/>
  <c r="Q608" i="4"/>
  <c r="Q546" i="4"/>
  <c r="Q538" i="4"/>
  <c r="Q530" i="4"/>
  <c r="Q522" i="4"/>
  <c r="Q514" i="4"/>
  <c r="Q506" i="4"/>
  <c r="Q498" i="4"/>
  <c r="Q490" i="4"/>
  <c r="Q720" i="4"/>
  <c r="Q711" i="4"/>
  <c r="Q696" i="4"/>
  <c r="Q684" i="4"/>
  <c r="Q677" i="4"/>
  <c r="Q647" i="4"/>
  <c r="Q632" i="4"/>
  <c r="Q620" i="4"/>
  <c r="Q613" i="4"/>
  <c r="Q599" i="4"/>
  <c r="Q591" i="4"/>
  <c r="Q583" i="4"/>
  <c r="Q575" i="4"/>
  <c r="Q567" i="4"/>
  <c r="Q559" i="4"/>
  <c r="Q551" i="4"/>
  <c r="Q543" i="4"/>
  <c r="Q535" i="4"/>
  <c r="Q527" i="4"/>
  <c r="Q519" i="4"/>
  <c r="Q511" i="4"/>
  <c r="Q503" i="4"/>
  <c r="Q703" i="4"/>
  <c r="Q688" i="4"/>
  <c r="Q676" i="4"/>
  <c r="Q669" i="4"/>
  <c r="Q639" i="4"/>
  <c r="Q624" i="4"/>
  <c r="Q612" i="4"/>
  <c r="Q607" i="4"/>
  <c r="Q548" i="4"/>
  <c r="Q540" i="4"/>
  <c r="Q701" i="4"/>
  <c r="Q660" i="4"/>
  <c r="Q616" i="4"/>
  <c r="Q592" i="4"/>
  <c r="Q581" i="4"/>
  <c r="Q577" i="4"/>
  <c r="Q520" i="4"/>
  <c r="Q494" i="4"/>
  <c r="Q479" i="4"/>
  <c r="Q471" i="4"/>
  <c r="Q679" i="4"/>
  <c r="Q668" i="4"/>
  <c r="Q637" i="4"/>
  <c r="Q605" i="4"/>
  <c r="Q601" i="4"/>
  <c r="Q566" i="4"/>
  <c r="Q552" i="4"/>
  <c r="Q544" i="4"/>
  <c r="Q536" i="4"/>
  <c r="Q524" i="4"/>
  <c r="Q505" i="4"/>
  <c r="Q497" i="4"/>
  <c r="Q487" i="4"/>
  <c r="Q484" i="4"/>
  <c r="Q476" i="4"/>
  <c r="Q468" i="4"/>
  <c r="Q460" i="4"/>
  <c r="Q452" i="4"/>
  <c r="Q444" i="4"/>
  <c r="Q656" i="4"/>
  <c r="Q615" i="4"/>
  <c r="Q590" i="4"/>
  <c r="Q576" i="4"/>
  <c r="Q565" i="4"/>
  <c r="Q561" i="4"/>
  <c r="Q550" i="4"/>
  <c r="Q542" i="4"/>
  <c r="Q534" i="4"/>
  <c r="Q529" i="4"/>
  <c r="Q518" i="4"/>
  <c r="Q513" i="4"/>
  <c r="Q509" i="4"/>
  <c r="Q501" i="4"/>
  <c r="Q481" i="4"/>
  <c r="Q473" i="4"/>
  <c r="Q465" i="4"/>
  <c r="Q457" i="4"/>
  <c r="Q449" i="4"/>
  <c r="Q441" i="4"/>
  <c r="Q433" i="4"/>
  <c r="Q664" i="4"/>
  <c r="Q600" i="4"/>
  <c r="Q589" i="4"/>
  <c r="Q585" i="4"/>
  <c r="Q523" i="4"/>
  <c r="Q504" i="4"/>
  <c r="Q496" i="4"/>
  <c r="Q493" i="4"/>
  <c r="Q489" i="4"/>
  <c r="Q478" i="4"/>
  <c r="Q470" i="4"/>
  <c r="Q462" i="4"/>
  <c r="Q454" i="4"/>
  <c r="Q446" i="4"/>
  <c r="Q438" i="4"/>
  <c r="Q430" i="4"/>
  <c r="Q422" i="4"/>
  <c r="Q414" i="4"/>
  <c r="Q406" i="4"/>
  <c r="Q398" i="4"/>
  <c r="Q390" i="4"/>
  <c r="Q598" i="4"/>
  <c r="Q568" i="4"/>
  <c r="Q507" i="4"/>
  <c r="Q499" i="4"/>
  <c r="Q483" i="4"/>
  <c r="Q475" i="4"/>
  <c r="Q467" i="4"/>
  <c r="Q451" i="4"/>
  <c r="Q432" i="4"/>
  <c r="Q419" i="4"/>
  <c r="Q416" i="4"/>
  <c r="Q403" i="4"/>
  <c r="Q400" i="4"/>
  <c r="Q387" i="4"/>
  <c r="Q384" i="4"/>
  <c r="Q381" i="4"/>
  <c r="Q373" i="4"/>
  <c r="Q365" i="4"/>
  <c r="Q357" i="4"/>
  <c r="Q349" i="4"/>
  <c r="Q341" i="4"/>
  <c r="Q333" i="4"/>
  <c r="Q325" i="4"/>
  <c r="Q317" i="4"/>
  <c r="Q309" i="4"/>
  <c r="Q301" i="4"/>
  <c r="Q293" i="4"/>
  <c r="Q285" i="4"/>
  <c r="Q277" i="4"/>
  <c r="Q269" i="4"/>
  <c r="Q261" i="4"/>
  <c r="Q253" i="4"/>
  <c r="Q245" i="4"/>
  <c r="Q237" i="4"/>
  <c r="Q229" i="4"/>
  <c r="Q221" i="4"/>
  <c r="Q213" i="4"/>
  <c r="Q205" i="4"/>
  <c r="Q197" i="4"/>
  <c r="Q189" i="4"/>
  <c r="Q181" i="4"/>
  <c r="Q173" i="4"/>
  <c r="Q165" i="4"/>
  <c r="Q157" i="4"/>
  <c r="Q149" i="4"/>
  <c r="Q671" i="4"/>
  <c r="Q645" i="4"/>
  <c r="Q644" i="4"/>
  <c r="Q609" i="4"/>
  <c r="Q597" i="4"/>
  <c r="Q593" i="4"/>
  <c r="Q560" i="4"/>
  <c r="Q553" i="4"/>
  <c r="Q547" i="4"/>
  <c r="Q528" i="4"/>
  <c r="Q512" i="4"/>
  <c r="Q488" i="4"/>
  <c r="Q461" i="4"/>
  <c r="Q456" i="4"/>
  <c r="Q445" i="4"/>
  <c r="Q440" i="4"/>
  <c r="Q436" i="4"/>
  <c r="Q428" i="4"/>
  <c r="Q412" i="4"/>
  <c r="Q396" i="4"/>
  <c r="Q558" i="4"/>
  <c r="Q545" i="4"/>
  <c r="Q539" i="4"/>
  <c r="Q526" i="4"/>
  <c r="Q495" i="4"/>
  <c r="Q482" i="4"/>
  <c r="Q474" i="4"/>
  <c r="Q466" i="4"/>
  <c r="Q450" i="4"/>
  <c r="Q431" i="4"/>
  <c r="Q425" i="4"/>
  <c r="Q421" i="4"/>
  <c r="Q415" i="4"/>
  <c r="Q409" i="4"/>
  <c r="Q405" i="4"/>
  <c r="Q399" i="4"/>
  <c r="Q393" i="4"/>
  <c r="Q389" i="4"/>
  <c r="Q383" i="4"/>
  <c r="Q375" i="4"/>
  <c r="Q367" i="4"/>
  <c r="Q359" i="4"/>
  <c r="Q351" i="4"/>
  <c r="Q343" i="4"/>
  <c r="Q335" i="4"/>
  <c r="Q327" i="4"/>
  <c r="Q319" i="4"/>
  <c r="Q311" i="4"/>
  <c r="Q303" i="4"/>
  <c r="Q557" i="4"/>
  <c r="Q537" i="4"/>
  <c r="Q521" i="4"/>
  <c r="Q623" i="4"/>
  <c r="Q582" i="4"/>
  <c r="Q573" i="4"/>
  <c r="Q569" i="4"/>
  <c r="Q515" i="4"/>
  <c r="Q486" i="4"/>
  <c r="Q458" i="4"/>
  <c r="Q447" i="4"/>
  <c r="Q426" i="4"/>
  <c r="Q413" i="4"/>
  <c r="Q395" i="4"/>
  <c r="Q385" i="4"/>
  <c r="Q661" i="4"/>
  <c r="Q502" i="4"/>
  <c r="Q500" i="4"/>
  <c r="Q480" i="4"/>
  <c r="Q464" i="4"/>
  <c r="Q455" i="4"/>
  <c r="Q429" i="4"/>
  <c r="Q411" i="4"/>
  <c r="Q382" i="4"/>
  <c r="Q374" i="4"/>
  <c r="Q717" i="4"/>
  <c r="Q653" i="4"/>
  <c r="Q532" i="4"/>
  <c r="Q492" i="4"/>
  <c r="Q463" i="4"/>
  <c r="Q442" i="4"/>
  <c r="Q423" i="4"/>
  <c r="Q417" i="4"/>
  <c r="Q404" i="4"/>
  <c r="Q392" i="4"/>
  <c r="Q289" i="4"/>
  <c r="Q273" i="4"/>
  <c r="Q257" i="4"/>
  <c r="Q241" i="4"/>
  <c r="Q225" i="4"/>
  <c r="Q584" i="4"/>
  <c r="Q574" i="4"/>
  <c r="Q472" i="4"/>
  <c r="Q448" i="4"/>
  <c r="Q439" i="4"/>
  <c r="Q434" i="4"/>
  <c r="Q420" i="4"/>
  <c r="Q408" i="4"/>
  <c r="Q402" i="4"/>
  <c r="Q469" i="4"/>
  <c r="Q437" i="4"/>
  <c r="Q435" i="4"/>
  <c r="Q401" i="4"/>
  <c r="Q391" i="4"/>
  <c r="Q344" i="4"/>
  <c r="Q313" i="4"/>
  <c r="Q304" i="4"/>
  <c r="Q296" i="4"/>
  <c r="Q288" i="4"/>
  <c r="Q283" i="4"/>
  <c r="Q276" i="4"/>
  <c r="Q249" i="4"/>
  <c r="Q236" i="4"/>
  <c r="Q230" i="4"/>
  <c r="Q209" i="4"/>
  <c r="Q193" i="4"/>
  <c r="Q177" i="4"/>
  <c r="Q161" i="4"/>
  <c r="Q145" i="4"/>
  <c r="Q139" i="4"/>
  <c r="Q131" i="4"/>
  <c r="Q123" i="4"/>
  <c r="Q115" i="4"/>
  <c r="Q107" i="4"/>
  <c r="Q99" i="4"/>
  <c r="Q91" i="4"/>
  <c r="Q83" i="4"/>
  <c r="Q75" i="4"/>
  <c r="Q67" i="4"/>
  <c r="Q59" i="4"/>
  <c r="Q51" i="4"/>
  <c r="Q43" i="4"/>
  <c r="Q35" i="4"/>
  <c r="Q27" i="4"/>
  <c r="Q19" i="4"/>
  <c r="Q11" i="4"/>
  <c r="Q3" i="4"/>
  <c r="Q154" i="4"/>
  <c r="Q151" i="4"/>
  <c r="Q136" i="4"/>
  <c r="Q128" i="4"/>
  <c r="Q120" i="4"/>
  <c r="Q112" i="4"/>
  <c r="Q104" i="4"/>
  <c r="Q96" i="4"/>
  <c r="Q88" i="4"/>
  <c r="Q80" i="4"/>
  <c r="Q72" i="4"/>
  <c r="Q64" i="4"/>
  <c r="Q56" i="4"/>
  <c r="Q48" i="4"/>
  <c r="Q652" i="4"/>
  <c r="Q459" i="4"/>
  <c r="Q427" i="4"/>
  <c r="Q377" i="4"/>
  <c r="Q369" i="4"/>
  <c r="Q362" i="4"/>
  <c r="Q355" i="4"/>
  <c r="Q348" i="4"/>
  <c r="Q342" i="4"/>
  <c r="Q337" i="4"/>
  <c r="Q330" i="4"/>
  <c r="Q323" i="4"/>
  <c r="Q316" i="4"/>
  <c r="Q307" i="4"/>
  <c r="Q302" i="4"/>
  <c r="Q291" i="4"/>
  <c r="Q287" i="4"/>
  <c r="Q280" i="4"/>
  <c r="Q272" i="4"/>
  <c r="Q267" i="4"/>
  <c r="Q260" i="4"/>
  <c r="Q233" i="4"/>
  <c r="Q218" i="4"/>
  <c r="Q215" i="4"/>
  <c r="Q202" i="4"/>
  <c r="Q199" i="4"/>
  <c r="Q186" i="4"/>
  <c r="Q183" i="4"/>
  <c r="Q170" i="4"/>
  <c r="Q167" i="4"/>
  <c r="Q40" i="4"/>
  <c r="Q510" i="4"/>
  <c r="Q508" i="4"/>
  <c r="Q491" i="4"/>
  <c r="Q453" i="4"/>
  <c r="Q366" i="4"/>
  <c r="Q361" i="4"/>
  <c r="Q354" i="4"/>
  <c r="Q347" i="4"/>
  <c r="Q340" i="4"/>
  <c r="Q334" i="4"/>
  <c r="Q329" i="4"/>
  <c r="Q322" i="4"/>
  <c r="Q315" i="4"/>
  <c r="Q310" i="4"/>
  <c r="Q290" i="4"/>
  <c r="Q282" i="4"/>
  <c r="Q279" i="4"/>
  <c r="Q270" i="4"/>
  <c r="Q259" i="4"/>
  <c r="Q255" i="4"/>
  <c r="Q248" i="4"/>
  <c r="Q240" i="4"/>
  <c r="Q235" i="4"/>
  <c r="Q228" i="4"/>
  <c r="Q220" i="4"/>
  <c r="Q214" i="4"/>
  <c r="Q208" i="4"/>
  <c r="Q204" i="4"/>
  <c r="Q198" i="4"/>
  <c r="Q192" i="4"/>
  <c r="Q188" i="4"/>
  <c r="Q182" i="4"/>
  <c r="Q176" i="4"/>
  <c r="Q172" i="4"/>
  <c r="Q166" i="4"/>
  <c r="Q160" i="4"/>
  <c r="Q156" i="4"/>
  <c r="Q150" i="4"/>
  <c r="Q144" i="4"/>
  <c r="Q138" i="4"/>
  <c r="Q130" i="4"/>
  <c r="Q122" i="4"/>
  <c r="Q114" i="4"/>
  <c r="Q106" i="4"/>
  <c r="Q98" i="4"/>
  <c r="Q90" i="4"/>
  <c r="Q82" i="4"/>
  <c r="Q74" i="4"/>
  <c r="Q66" i="4"/>
  <c r="Q716" i="4"/>
  <c r="Q695" i="4"/>
  <c r="Q687" i="4"/>
  <c r="Q680" i="4"/>
  <c r="Q443" i="4"/>
  <c r="Q407" i="4"/>
  <c r="Q380" i="4"/>
  <c r="Q372" i="4"/>
  <c r="Q360" i="4"/>
  <c r="Q328" i="4"/>
  <c r="Q306" i="4"/>
  <c r="Q300" i="4"/>
  <c r="Q294" i="4"/>
  <c r="Q274" i="4"/>
  <c r="Q266" i="4"/>
  <c r="Q263" i="4"/>
  <c r="Q254" i="4"/>
  <c r="Q243" i="4"/>
  <c r="Q239" i="4"/>
  <c r="Q232" i="4"/>
  <c r="Q224" i="4"/>
  <c r="Q217" i="4"/>
  <c r="Q201" i="4"/>
  <c r="Q185" i="4"/>
  <c r="Q169" i="4"/>
  <c r="Q153" i="4"/>
  <c r="Q135" i="4"/>
  <c r="Q127" i="4"/>
  <c r="Q119" i="4"/>
  <c r="Q111" i="4"/>
  <c r="Q103" i="4"/>
  <c r="Q95" i="4"/>
  <c r="Q87" i="4"/>
  <c r="Q79" i="4"/>
  <c r="Q71" i="4"/>
  <c r="Q477" i="4"/>
  <c r="Q388" i="4"/>
  <c r="Q2" i="4"/>
  <c r="Q6" i="4"/>
  <c r="K8" i="4"/>
  <c r="Q12" i="4"/>
  <c r="Q18" i="4"/>
  <c r="Q22" i="4"/>
  <c r="K24" i="4"/>
  <c r="Q28" i="4"/>
  <c r="K38" i="4"/>
  <c r="Q39" i="4"/>
  <c r="K46" i="4"/>
  <c r="Q47" i="4"/>
  <c r="K54" i="4"/>
  <c r="Q55" i="4"/>
  <c r="P69" i="4"/>
  <c r="K68" i="4"/>
  <c r="Q70" i="4"/>
  <c r="P75" i="4"/>
  <c r="P74" i="4"/>
  <c r="Q85" i="4"/>
  <c r="Q92" i="4"/>
  <c r="Q97" i="4"/>
  <c r="P100" i="4"/>
  <c r="P104" i="4"/>
  <c r="P105" i="4"/>
  <c r="K110" i="4"/>
  <c r="P119" i="4"/>
  <c r="P125" i="4"/>
  <c r="K124" i="4"/>
  <c r="Q126" i="4"/>
  <c r="Q133" i="4"/>
  <c r="P140" i="4"/>
  <c r="P144" i="4"/>
  <c r="K143" i="4"/>
  <c r="K144" i="4"/>
  <c r="P145" i="4"/>
  <c r="Q147" i="4"/>
  <c r="Q155" i="4"/>
  <c r="P164" i="4"/>
  <c r="K163" i="4"/>
  <c r="P167" i="4"/>
  <c r="Q168" i="4"/>
  <c r="P184" i="4"/>
  <c r="K183" i="4"/>
  <c r="K184" i="4"/>
  <c r="K189" i="4"/>
  <c r="Q206" i="4"/>
  <c r="P207" i="4"/>
  <c r="P213" i="4"/>
  <c r="P222" i="4"/>
  <c r="P221" i="4"/>
  <c r="K222" i="4"/>
  <c r="P220" i="4"/>
  <c r="P225" i="4"/>
  <c r="K229" i="4"/>
  <c r="Q234" i="4"/>
  <c r="Q246" i="4"/>
  <c r="P247" i="4"/>
  <c r="P253" i="4"/>
  <c r="Q265" i="4"/>
  <c r="P274" i="4"/>
  <c r="Q297" i="4"/>
  <c r="K304" i="4"/>
  <c r="K312" i="4"/>
  <c r="Q331" i="4"/>
  <c r="P355" i="4"/>
  <c r="K382" i="4"/>
  <c r="P382" i="4"/>
  <c r="P426" i="4"/>
  <c r="P423" i="4"/>
  <c r="P421" i="4"/>
  <c r="Q631" i="4"/>
  <c r="P638" i="4"/>
  <c r="P641" i="4"/>
  <c r="K411" i="4"/>
  <c r="P411" i="4"/>
  <c r="K427" i="4"/>
  <c r="K426" i="4"/>
  <c r="P427" i="4"/>
  <c r="P459" i="4"/>
  <c r="P514" i="4"/>
  <c r="P515" i="4"/>
  <c r="P513" i="4"/>
  <c r="P511" i="4"/>
  <c r="K514" i="4"/>
  <c r="P605" i="4"/>
  <c r="K604" i="4"/>
  <c r="P621" i="4"/>
  <c r="K620" i="4"/>
  <c r="K318" i="4"/>
  <c r="P318" i="4"/>
  <c r="P320" i="4"/>
  <c r="K319" i="4"/>
  <c r="P332" i="4"/>
  <c r="K331" i="4"/>
  <c r="K350" i="4"/>
  <c r="P350" i="4"/>
  <c r="P352" i="4"/>
  <c r="K351" i="4"/>
  <c r="P364" i="4"/>
  <c r="K363" i="4"/>
  <c r="P371" i="4"/>
  <c r="P379" i="4"/>
  <c r="P393" i="4"/>
  <c r="K392" i="4"/>
  <c r="K393" i="4"/>
  <c r="P453" i="4"/>
  <c r="P671" i="4"/>
  <c r="P667" i="4"/>
  <c r="P666" i="4"/>
  <c r="K671" i="4"/>
  <c r="K670" i="4"/>
  <c r="P232" i="4"/>
  <c r="K231" i="4"/>
  <c r="P238" i="4"/>
  <c r="P321" i="4"/>
  <c r="P353" i="4"/>
  <c r="P372" i="4"/>
  <c r="K371" i="4"/>
  <c r="P380" i="4"/>
  <c r="K379" i="4"/>
  <c r="P383" i="4"/>
  <c r="P384" i="4"/>
  <c r="P405" i="4"/>
  <c r="K418" i="4"/>
  <c r="K417" i="4"/>
  <c r="P418" i="4"/>
  <c r="P564" i="4"/>
  <c r="P563" i="4"/>
  <c r="P562" i="4"/>
  <c r="P561" i="4"/>
  <c r="K563" i="4"/>
  <c r="P240" i="4"/>
  <c r="K239" i="4"/>
  <c r="K240" i="4"/>
  <c r="P244" i="4"/>
  <c r="K243" i="4"/>
  <c r="P264" i="4"/>
  <c r="K263" i="4"/>
  <c r="P270" i="4"/>
  <c r="P310" i="4"/>
  <c r="P329" i="4"/>
  <c r="P361" i="4"/>
  <c r="K386" i="4"/>
  <c r="K385" i="4"/>
  <c r="P408" i="4"/>
  <c r="P419" i="4"/>
  <c r="P420" i="4"/>
  <c r="K420" i="4"/>
  <c r="P448" i="4"/>
  <c r="K447" i="4"/>
  <c r="P256" i="4"/>
  <c r="K255" i="4"/>
  <c r="K256" i="4"/>
  <c r="P260" i="4"/>
  <c r="K259" i="4"/>
  <c r="P280" i="4"/>
  <c r="K279" i="4"/>
  <c r="P286" i="4"/>
  <c r="P312" i="4"/>
  <c r="K311" i="4"/>
  <c r="P316" i="4"/>
  <c r="K328" i="4"/>
  <c r="K334" i="4"/>
  <c r="P334" i="4"/>
  <c r="P336" i="4"/>
  <c r="K335" i="4"/>
  <c r="P348" i="4"/>
  <c r="K347" i="4"/>
  <c r="K360" i="4"/>
  <c r="K366" i="4"/>
  <c r="P366" i="4"/>
  <c r="P368" i="4"/>
  <c r="K367" i="4"/>
  <c r="P376" i="4"/>
  <c r="K375" i="4"/>
  <c r="P385" i="4"/>
  <c r="K384" i="4"/>
  <c r="K419" i="4"/>
  <c r="P424" i="4"/>
  <c r="P447" i="4"/>
  <c r="K446" i="4"/>
  <c r="P446" i="4"/>
  <c r="P445" i="4"/>
  <c r="P498" i="4"/>
  <c r="K499" i="4"/>
  <c r="P499" i="4"/>
  <c r="P496" i="4"/>
  <c r="P495" i="4"/>
  <c r="K498" i="4"/>
  <c r="K515" i="4"/>
  <c r="P516" i="4"/>
  <c r="P609" i="4"/>
  <c r="K608" i="4"/>
  <c r="P608" i="4"/>
  <c r="P607" i="4"/>
  <c r="K609" i="4"/>
  <c r="K623" i="4"/>
  <c r="P623" i="4"/>
  <c r="K622" i="4"/>
  <c r="P400" i="4"/>
  <c r="P401" i="4"/>
  <c r="K400" i="4"/>
  <c r="P412" i="4"/>
  <c r="P456" i="4"/>
  <c r="P485" i="4"/>
  <c r="P484" i="4"/>
  <c r="K486" i="4"/>
  <c r="K485" i="4"/>
  <c r="P565" i="4"/>
  <c r="K564" i="4"/>
  <c r="K631" i="4"/>
  <c r="K630" i="4"/>
  <c r="P631" i="4"/>
  <c r="P636" i="4"/>
  <c r="K635" i="4"/>
  <c r="P635" i="4"/>
  <c r="P634" i="4"/>
  <c r="P632" i="4"/>
  <c r="P306" i="4"/>
  <c r="K305" i="4"/>
  <c r="P314" i="4"/>
  <c r="K313" i="4"/>
  <c r="P322" i="4"/>
  <c r="K321" i="4"/>
  <c r="P330" i="4"/>
  <c r="K329" i="4"/>
  <c r="P338" i="4"/>
  <c r="K337" i="4"/>
  <c r="P346" i="4"/>
  <c r="K345" i="4"/>
  <c r="P354" i="4"/>
  <c r="K353" i="4"/>
  <c r="P362" i="4"/>
  <c r="K361" i="4"/>
  <c r="P370" i="4"/>
  <c r="K369" i="4"/>
  <c r="P378" i="4"/>
  <c r="K377" i="4"/>
  <c r="P396" i="4"/>
  <c r="P441" i="4"/>
  <c r="P454" i="4"/>
  <c r="P480" i="4"/>
  <c r="P491" i="4"/>
  <c r="P490" i="4"/>
  <c r="P489" i="4"/>
  <c r="P488" i="4"/>
  <c r="P604" i="4"/>
  <c r="P603" i="4"/>
  <c r="P602" i="4"/>
  <c r="K603" i="4"/>
  <c r="K687" i="4"/>
  <c r="K686" i="4"/>
  <c r="K695" i="4"/>
  <c r="K694" i="4"/>
  <c r="P701" i="4"/>
  <c r="K700" i="4"/>
  <c r="P398" i="4"/>
  <c r="P403" i="4"/>
  <c r="P410" i="4"/>
  <c r="P422" i="4"/>
  <c r="P440" i="4"/>
  <c r="P452" i="4"/>
  <c r="P530" i="4"/>
  <c r="P531" i="4"/>
  <c r="P529" i="4"/>
  <c r="P527" i="4"/>
  <c r="P526" i="4"/>
  <c r="K531" i="4"/>
  <c r="P552" i="4"/>
  <c r="K551" i="4"/>
  <c r="P551" i="4"/>
  <c r="P550" i="4"/>
  <c r="P548" i="4"/>
  <c r="P547" i="4"/>
  <c r="K553" i="4"/>
  <c r="P553" i="4"/>
  <c r="P588" i="4"/>
  <c r="P587" i="4"/>
  <c r="P586" i="4"/>
  <c r="P585" i="4"/>
  <c r="P645" i="4"/>
  <c r="K644" i="4"/>
  <c r="P685" i="4"/>
  <c r="K684" i="4"/>
  <c r="P394" i="4"/>
  <c r="P406" i="4"/>
  <c r="P457" i="4"/>
  <c r="P470" i="4"/>
  <c r="P472" i="4"/>
  <c r="K483" i="4"/>
  <c r="P483" i="4"/>
  <c r="P506" i="4"/>
  <c r="K507" i="4"/>
  <c r="P507" i="4"/>
  <c r="P504" i="4"/>
  <c r="P503" i="4"/>
  <c r="P566" i="4"/>
  <c r="K565" i="4"/>
  <c r="K566" i="4"/>
  <c r="P568" i="4"/>
  <c r="K567" i="4"/>
  <c r="P567" i="4"/>
  <c r="P637" i="4"/>
  <c r="K636" i="4"/>
  <c r="P582" i="4"/>
  <c r="K581" i="4"/>
  <c r="K582" i="4"/>
  <c r="P620" i="4"/>
  <c r="K619" i="4"/>
  <c r="P619" i="4"/>
  <c r="P618" i="4"/>
  <c r="P616" i="4"/>
  <c r="P615" i="4"/>
  <c r="P628" i="4"/>
  <c r="K627" i="4"/>
  <c r="P627" i="4"/>
  <c r="P626" i="4"/>
  <c r="P684" i="4"/>
  <c r="K683" i="4"/>
  <c r="P683" i="4"/>
  <c r="P682" i="4"/>
  <c r="P680" i="4"/>
  <c r="P693" i="4"/>
  <c r="K692" i="4"/>
  <c r="P700" i="4"/>
  <c r="K699" i="4"/>
  <c r="P699" i="4"/>
  <c r="P698" i="4"/>
  <c r="P696" i="4"/>
  <c r="P449" i="4"/>
  <c r="P465" i="4"/>
  <c r="P502" i="4"/>
  <c r="P510" i="4"/>
  <c r="P581" i="4"/>
  <c r="K580" i="4"/>
  <c r="P584" i="4"/>
  <c r="K583" i="4"/>
  <c r="P583" i="4"/>
  <c r="K584" i="4"/>
  <c r="P593" i="4"/>
  <c r="P409" i="4"/>
  <c r="K408" i="4"/>
  <c r="P425" i="4"/>
  <c r="K424" i="4"/>
  <c r="P439" i="4"/>
  <c r="P444" i="4"/>
  <c r="P455" i="4"/>
  <c r="K454" i="4"/>
  <c r="P460" i="4"/>
  <c r="P471" i="4"/>
  <c r="P479" i="4"/>
  <c r="P494" i="4"/>
  <c r="K501" i="4"/>
  <c r="K509" i="4"/>
  <c r="P520" i="4"/>
  <c r="K519" i="4"/>
  <c r="P519" i="4"/>
  <c r="P518" i="4"/>
  <c r="P536" i="4"/>
  <c r="K535" i="4"/>
  <c r="P535" i="4"/>
  <c r="P534" i="4"/>
  <c r="K537" i="4"/>
  <c r="P537" i="4"/>
  <c r="K577" i="4"/>
  <c r="P577" i="4"/>
  <c r="P580" i="4"/>
  <c r="P579" i="4"/>
  <c r="P578" i="4"/>
  <c r="K579" i="4"/>
  <c r="P592" i="4"/>
  <c r="K591" i="4"/>
  <c r="P591" i="4"/>
  <c r="P436" i="4"/>
  <c r="K435" i="4"/>
  <c r="P473" i="4"/>
  <c r="P474" i="4"/>
  <c r="K473" i="4"/>
  <c r="P481" i="4"/>
  <c r="P482" i="4"/>
  <c r="K481" i="4"/>
  <c r="P487" i="4"/>
  <c r="K502" i="4"/>
  <c r="K510" i="4"/>
  <c r="P525" i="4"/>
  <c r="P524" i="4"/>
  <c r="K526" i="4"/>
  <c r="P544" i="4"/>
  <c r="K543" i="4"/>
  <c r="P543" i="4"/>
  <c r="P542" i="4"/>
  <c r="P540" i="4"/>
  <c r="K545" i="4"/>
  <c r="P545" i="4"/>
  <c r="P557" i="4"/>
  <c r="K556" i="4"/>
  <c r="P558" i="4"/>
  <c r="K557" i="4"/>
  <c r="K558" i="4"/>
  <c r="K576" i="4"/>
  <c r="K432" i="4"/>
  <c r="K440" i="4"/>
  <c r="K448" i="4"/>
  <c r="K456" i="4"/>
  <c r="K464" i="4"/>
  <c r="K472" i="4"/>
  <c r="K480" i="4"/>
  <c r="P538" i="4"/>
  <c r="P546" i="4"/>
  <c r="P555" i="4"/>
  <c r="P554" i="4"/>
  <c r="P556" i="4"/>
  <c r="P560" i="4"/>
  <c r="K559" i="4"/>
  <c r="P559" i="4"/>
  <c r="P597" i="4"/>
  <c r="K596" i="4"/>
  <c r="P598" i="4"/>
  <c r="K597" i="4"/>
  <c r="K598" i="4"/>
  <c r="K647" i="4"/>
  <c r="P648" i="4"/>
  <c r="P647" i="4"/>
  <c r="P692" i="4"/>
  <c r="K691" i="4"/>
  <c r="P691" i="4"/>
  <c r="P690" i="4"/>
  <c r="P697" i="4"/>
  <c r="P708" i="4"/>
  <c r="K707" i="4"/>
  <c r="P704" i="4"/>
  <c r="P709" i="4"/>
  <c r="K708" i="4"/>
  <c r="K711" i="4"/>
  <c r="P712" i="4"/>
  <c r="P711" i="4"/>
  <c r="K443" i="4"/>
  <c r="K451" i="4"/>
  <c r="K459" i="4"/>
  <c r="K467" i="4"/>
  <c r="K475" i="4"/>
  <c r="P493" i="4"/>
  <c r="K492" i="4"/>
  <c r="P497" i="4"/>
  <c r="P505" i="4"/>
  <c r="P512" i="4"/>
  <c r="P517" i="4"/>
  <c r="P522" i="4"/>
  <c r="P528" i="4"/>
  <c r="K527" i="4"/>
  <c r="P533" i="4"/>
  <c r="K538" i="4"/>
  <c r="K546" i="4"/>
  <c r="K554" i="4"/>
  <c r="P573" i="4"/>
  <c r="K572" i="4"/>
  <c r="P574" i="4"/>
  <c r="K573" i="4"/>
  <c r="K574" i="4"/>
  <c r="P596" i="4"/>
  <c r="P595" i="4"/>
  <c r="P594" i="4"/>
  <c r="P600" i="4"/>
  <c r="K599" i="4"/>
  <c r="P599" i="4"/>
  <c r="P601" i="4"/>
  <c r="P614" i="4"/>
  <c r="P678" i="4"/>
  <c r="K470" i="4"/>
  <c r="K478" i="4"/>
  <c r="P501" i="4"/>
  <c r="K500" i="4"/>
  <c r="P509" i="4"/>
  <c r="K508" i="4"/>
  <c r="K522" i="4"/>
  <c r="K539" i="4"/>
  <c r="K547" i="4"/>
  <c r="K555" i="4"/>
  <c r="K560" i="4"/>
  <c r="P572" i="4"/>
  <c r="P571" i="4"/>
  <c r="P570" i="4"/>
  <c r="P576" i="4"/>
  <c r="K575" i="4"/>
  <c r="P575" i="4"/>
  <c r="P675" i="4"/>
  <c r="P674" i="4"/>
  <c r="K523" i="4"/>
  <c r="K528" i="4"/>
  <c r="P541" i="4"/>
  <c r="P549" i="4"/>
  <c r="P589" i="4"/>
  <c r="K588" i="4"/>
  <c r="P590" i="4"/>
  <c r="K589" i="4"/>
  <c r="K590" i="4"/>
  <c r="P658" i="4"/>
  <c r="K678" i="4"/>
  <c r="P646" i="4"/>
  <c r="P652" i="4"/>
  <c r="K651" i="4"/>
  <c r="P653" i="4"/>
  <c r="K652" i="4"/>
  <c r="P665" i="4"/>
  <c r="P710" i="4"/>
  <c r="P716" i="4"/>
  <c r="K715" i="4"/>
  <c r="P717" i="4"/>
  <c r="K716" i="4"/>
  <c r="K606" i="4"/>
  <c r="K638" i="4"/>
  <c r="P654" i="4"/>
  <c r="P655" i="4"/>
  <c r="P660" i="4"/>
  <c r="K659" i="4"/>
  <c r="P661" i="4"/>
  <c r="K660" i="4"/>
  <c r="P673" i="4"/>
  <c r="K702" i="4"/>
  <c r="K516" i="4"/>
  <c r="K524" i="4"/>
  <c r="K532" i="4"/>
  <c r="K540" i="4"/>
  <c r="K548" i="4"/>
  <c r="P617" i="4"/>
  <c r="P662" i="4"/>
  <c r="P668" i="4"/>
  <c r="K667" i="4"/>
  <c r="P669" i="4"/>
  <c r="K668" i="4"/>
  <c r="P681" i="4"/>
  <c r="P613" i="4"/>
  <c r="K612" i="4"/>
  <c r="P625" i="4"/>
  <c r="P670" i="4"/>
  <c r="P676" i="4"/>
  <c r="K675" i="4"/>
  <c r="P677" i="4"/>
  <c r="K676" i="4"/>
  <c r="P689" i="4"/>
  <c r="K616" i="4"/>
  <c r="K624" i="4"/>
  <c r="K632" i="4"/>
  <c r="K640" i="4"/>
  <c r="K648" i="4"/>
  <c r="K656" i="4"/>
  <c r="K664" i="4"/>
  <c r="K672" i="4"/>
  <c r="K680" i="4"/>
  <c r="K688" i="4"/>
  <c r="K696" i="4"/>
  <c r="K704" i="4"/>
  <c r="K712" i="4"/>
  <c r="K605" i="4"/>
  <c r="K613" i="4"/>
  <c r="K621" i="4"/>
  <c r="K629" i="4"/>
  <c r="K637" i="4"/>
  <c r="K645" i="4"/>
  <c r="K653" i="4"/>
  <c r="K661" i="4"/>
  <c r="K669" i="4"/>
  <c r="K677" i="4"/>
  <c r="K685" i="4"/>
  <c r="K693" i="4"/>
  <c r="K701" i="4"/>
  <c r="K709" i="4"/>
  <c r="K717" i="4"/>
</calcChain>
</file>

<file path=xl/comments1.xml><?xml version="1.0" encoding="utf-8"?>
<comments xmlns="http://schemas.openxmlformats.org/spreadsheetml/2006/main">
  <authors>
    <author>Tushar Mehta</author>
  </authors>
  <commentList>
    <comment ref="I1" authorId="0" shapeId="0">
      <text>
        <r>
          <rPr>
            <b/>
            <sz val="9"/>
            <color rgb="FF000000"/>
            <rFont val="Tahoma"/>
            <family val="2"/>
          </rPr>
          <t>Tushar Mehta:</t>
        </r>
        <r>
          <rPr>
            <sz val="9"/>
            <color rgb="FF000000"/>
            <rFont val="Tahoma"/>
            <family val="2"/>
          </rPr>
          <t xml:space="preserve">
Total children currently under government care responsibility.</t>
        </r>
      </text>
    </comment>
    <comment ref="J1" authorId="0" shapeId="0">
      <text>
        <r>
          <rPr>
            <b/>
            <sz val="9"/>
            <color rgb="FF000000"/>
            <rFont val="Tahoma"/>
            <family val="2"/>
          </rPr>
          <t>Tushar Mehta:</t>
        </r>
        <r>
          <rPr>
            <sz val="9"/>
            <color rgb="FF000000"/>
            <rFont val="Tahoma"/>
            <family val="2"/>
          </rPr>
          <t xml:space="preserve">
Whether more children are entering than leaving.</t>
        </r>
      </text>
    </comment>
    <comment ref="K1" authorId="0" shapeId="0">
      <text>
        <r>
          <rPr>
            <b/>
            <sz val="9"/>
            <color rgb="FF000000"/>
            <rFont val="Tahoma"/>
            <family val="2"/>
          </rPr>
          <t>Tushar Mehta:</t>
        </r>
        <r>
          <rPr>
            <sz val="9"/>
            <color rgb="FF000000"/>
            <rFont val="Tahoma"/>
            <family val="2"/>
          </rPr>
          <t xml:space="preserve">
Daily percentage growth in total care load.</t>
        </r>
      </text>
    </comment>
    <comment ref="N1" authorId="0" shapeId="0">
      <text>
        <r>
          <rPr>
            <b/>
            <sz val="9"/>
            <color rgb="FF000000"/>
            <rFont val="Tahoma"/>
            <family val="2"/>
          </rPr>
          <t>Tushar Mehta:</t>
        </r>
        <r>
          <rPr>
            <sz val="9"/>
            <color rgb="FF000000"/>
            <rFont val="Tahoma"/>
            <family val="2"/>
          </rPr>
          <t xml:space="preserve">
shows:whether healthcare burden is accumulating.</t>
        </r>
      </text>
    </comment>
  </commentList>
</comments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HHS_Unaccompanied_Alien_Children_Program;Extended Properties=&quot;&quot;" command="SELECT * FROM [HHS_Unaccompanied_Alien_Children_Program]"/>
  </connection>
</connections>
</file>

<file path=xl/sharedStrings.xml><?xml version="1.0" encoding="utf-8"?>
<sst xmlns="http://schemas.openxmlformats.org/spreadsheetml/2006/main" count="143" uniqueCount="66">
  <si>
    <t>Month-Year</t>
  </si>
  <si>
    <t>Average of Total System load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</si>
  <si>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</si>
  <si>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</si>
  <si>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</si>
  <si>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</si>
  <si>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</si>
  <si>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</si>
  <si>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</si>
  <si>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</si>
  <si>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</si>
  <si>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</si>
  <si>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</si>
  <si>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</si>
  <si>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</si>
  <si>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The system demonstrated sustained growth in operational care burden across multiple reporting periods, suggesting increasing strain on healthcare and shelter infrastructure.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</si>
  <si>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</si>
  <si>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</si>
  <si>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</si>
  <si>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</si>
  <si>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</si>
  <si>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</si>
  <si>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</si>
  <si>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</si>
  <si>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</si>
  <si>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</si>
  <si>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</si>
  <si>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</si>
  <si>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</si>
  <si>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</si>
  <si>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</si>
  <si>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</si>
  <si>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</si>
  <si>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</si>
  <si>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</si>
  <si>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</si>
  <si>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</si>
  <si>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</si>
  <si>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</si>
  <si>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</si>
  <si>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Average of Children transferred out of CBP custody</t>
  </si>
  <si>
    <t>Average of Children discharged from HHS Care</t>
  </si>
  <si>
    <t>Average of Net Intake Pressure</t>
  </si>
  <si>
    <t>Date</t>
  </si>
  <si>
    <t>Month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</si>
  <si>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</si>
  <si>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</si>
  <si>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</si>
  <si>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</si>
  <si>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</si>
  <si>
    <t>Total System load</t>
  </si>
  <si>
    <t>Net Intake Pressure</t>
  </si>
  <si>
    <t>Care load Growth Rate</t>
  </si>
  <si>
    <t>Transfer Validation</t>
  </si>
  <si>
    <t>Discharge Validation</t>
  </si>
  <si>
    <t>Backlog Trend Indicator</t>
  </si>
  <si>
    <t>Discharge Offset ratio</t>
  </si>
  <si>
    <t>7 Days Rolling Avg.</t>
  </si>
  <si>
    <t>Volatality Metrics (Standard Diviation)</t>
  </si>
  <si>
    <t>Important KPIs</t>
  </si>
  <si>
    <t>Average Total System Load</t>
  </si>
  <si>
    <t>Maximum Total System Load</t>
  </si>
  <si>
    <t>Maximum HHS Care Load</t>
  </si>
  <si>
    <t>Average Net Intake Pressure</t>
  </si>
  <si>
    <t>Highest Net Intake Pressure</t>
  </si>
  <si>
    <t>Average Discharge Offset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</si>
</sst>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8EA9DB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 wrapText="1"/>
    </xf>
    <xf numFmtId="164" fontId="0" fillId="0" borderId="7" xfId="0" applyNumberFormat="1" applyBorder="1" applyAlignment="1">
      <alignment horizontal="center" wrapText="1"/>
    </xf>
    <xf numFmtId="1" fontId="0" fillId="0" borderId="7" xfId="0" applyNumberFormat="1" applyBorder="1" applyAlignment="1">
      <alignment horizontal="center"/>
    </xf>
    <xf numFmtId="9" fontId="1" fillId="0" borderId="7" xfId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0" borderId="7" xfId="0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/>
    </xf>
  </cellXfs>
  <cellStyles count="2">
    <cellStyle name="Normal" xfId="0" builtinId="0" customBuiltin="1"/>
    <cellStyle name="Percent" xfId="1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</c:marker>
          <c:trendline>
            <c:spPr>
              <a:ln w="19046" cap="rnd">
                <a:solidFill>
                  <a:srgbClr val="4472C4"/>
                </a:solidFill>
                <a:custDash>
                  <a:ds d="100000" sp="100000"/>
                </a:custDash>
              </a:ln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2023-01</c:v>
              </c:pt>
              <c:pt idx="1">
                <c:v>2023-02</c:v>
              </c:pt>
              <c:pt idx="2">
                <c:v>2023-03</c:v>
              </c:pt>
              <c:pt idx="3">
                <c:v>2023-04</c:v>
              </c:pt>
              <c:pt idx="4">
                <c:v>2023-05</c:v>
              </c:pt>
              <c:pt idx="5">
                <c:v>2023-06</c:v>
              </c:pt>
              <c:pt idx="6">
                <c:v>2023-07</c:v>
              </c:pt>
              <c:pt idx="7">
                <c:v>2023-08</c:v>
              </c:pt>
              <c:pt idx="8">
                <c:v>2023-09</c:v>
              </c:pt>
              <c:pt idx="9">
                <c:v>2023-10</c:v>
              </c:pt>
              <c:pt idx="10">
                <c:v>2023-11</c:v>
              </c:pt>
              <c:pt idx="11">
                <c:v>2023-12</c:v>
              </c:pt>
              <c:pt idx="12">
                <c:v>2024-01</c:v>
              </c:pt>
              <c:pt idx="13">
                <c:v>2024-02</c:v>
              </c:pt>
              <c:pt idx="14">
                <c:v>2024-03</c:v>
              </c:pt>
              <c:pt idx="15">
                <c:v>2024-04</c:v>
              </c:pt>
              <c:pt idx="16">
                <c:v>2024-05</c:v>
              </c:pt>
              <c:pt idx="17">
                <c:v>2024-06</c:v>
              </c:pt>
              <c:pt idx="18">
                <c:v>2024-07</c:v>
              </c:pt>
              <c:pt idx="19">
                <c:v>2024-08</c:v>
              </c:pt>
              <c:pt idx="20">
                <c:v>2024-09</c:v>
              </c:pt>
              <c:pt idx="21">
                <c:v>2024-10</c:v>
              </c:pt>
              <c:pt idx="22">
                <c:v>2024-11</c:v>
              </c:pt>
              <c:pt idx="23">
                <c:v>2024-12</c:v>
              </c:pt>
              <c:pt idx="24">
                <c:v>2025-01</c:v>
              </c:pt>
              <c:pt idx="25">
                <c:v>2025-02</c:v>
              </c:pt>
              <c:pt idx="26">
                <c:v>2025-03</c:v>
              </c:pt>
              <c:pt idx="27">
                <c:v>2025-04</c:v>
              </c:pt>
              <c:pt idx="28">
                <c:v>2025-05</c:v>
              </c:pt>
              <c:pt idx="29">
                <c:v>2025-06</c:v>
              </c:pt>
              <c:pt idx="30">
                <c:v>2025-07</c:v>
              </c:pt>
              <c:pt idx="31">
                <c:v>2025-08</c:v>
              </c:pt>
              <c:pt idx="32">
                <c:v>2025-09</c:v>
              </c:pt>
              <c:pt idx="33">
                <c:v>2025-10</c:v>
              </c:pt>
              <c:pt idx="34">
                <c:v>2025-11</c:v>
              </c:pt>
              <c:pt idx="35">
                <c:v>2025-12</c:v>
              </c:pt>
            </c:strLit>
          </c:cat>
          <c:val>
            <c:numLit>
              <c:formatCode>General</c:formatCode>
              <c:ptCount val="36"/>
              <c:pt idx="0">
                <c:v>7413.5</c:v>
              </c:pt>
              <c:pt idx="1">
                <c:v>7967.105263157895</c:v>
              </c:pt>
              <c:pt idx="2">
                <c:v>8190.4736842105267</c:v>
              </c:pt>
              <c:pt idx="3">
                <c:v>8092.8571428571431</c:v>
              </c:pt>
              <c:pt idx="4">
                <c:v>8404.0909090909099</c:v>
              </c:pt>
              <c:pt idx="5">
                <c:v>6282.1</c:v>
              </c:pt>
              <c:pt idx="6">
                <c:v>7073.3809523809523</c:v>
              </c:pt>
              <c:pt idx="7">
                <c:v>9585.1</c:v>
              </c:pt>
              <c:pt idx="8">
                <c:v>10992.368421052632</c:v>
              </c:pt>
              <c:pt idx="9">
                <c:v>10308.227272727272</c:v>
              </c:pt>
              <c:pt idx="10">
                <c:v>9909.6</c:v>
              </c:pt>
              <c:pt idx="11">
                <c:v>11255.263157894737</c:v>
              </c:pt>
              <c:pt idx="12">
                <c:v>9021.636363636364</c:v>
              </c:pt>
              <c:pt idx="13">
                <c:v>8766.7999999999993</c:v>
              </c:pt>
              <c:pt idx="14">
                <c:v>8703.8571428571431</c:v>
              </c:pt>
              <c:pt idx="15">
                <c:v>7336.318181818182</c:v>
              </c:pt>
              <c:pt idx="16">
                <c:v>7836.0476190476193</c:v>
              </c:pt>
              <c:pt idx="17">
                <c:v>7691.4761904761908</c:v>
              </c:pt>
              <c:pt idx="18">
                <c:v>6498.7619047619046</c:v>
              </c:pt>
              <c:pt idx="19">
                <c:v>6258.7368421052633</c:v>
              </c:pt>
              <c:pt idx="20">
                <c:v>6452.636363636364</c:v>
              </c:pt>
              <c:pt idx="21">
                <c:v>6276.2857142857147</c:v>
              </c:pt>
              <c:pt idx="22">
                <c:v>6151.4210526315792</c:v>
              </c:pt>
              <c:pt idx="23">
                <c:v>6690.409090909091</c:v>
              </c:pt>
              <c:pt idx="24">
                <c:v>5080.045454545455</c:v>
              </c:pt>
              <c:pt idx="25">
                <c:v>2804.2105263157896</c:v>
              </c:pt>
              <c:pt idx="26">
                <c:v>2185.909090909091</c:v>
              </c:pt>
              <c:pt idx="27">
                <c:v>2298</c:v>
              </c:pt>
              <c:pt idx="28">
                <c:v>2439.7777777777778</c:v>
              </c:pt>
              <c:pt idx="29">
                <c:v>2511.4705882352941</c:v>
              </c:pt>
              <c:pt idx="30">
                <c:v>2201.1428571428573</c:v>
              </c:pt>
              <c:pt idx="31">
                <c:v>2026.9</c:v>
              </c:pt>
              <c:pt idx="32">
                <c:v>2118.0454545454545</c:v>
              </c:pt>
              <c:pt idx="33">
                <c:v>2265.3809523809523</c:v>
              </c:pt>
              <c:pt idx="34">
                <c:v>2360.6842105263158</c:v>
              </c:pt>
              <c:pt idx="35">
                <c:v>2481.4666666666667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9E2-41B8-8B45-35A6DE961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995215"/>
        <c:axId val="2005992303"/>
      </c:lineChart>
      <c:valAx>
        <c:axId val="2005992303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05995215"/>
        <c:crosses val="autoZero"/>
        <c:crossBetween val="between"/>
      </c:valAx>
      <c:catAx>
        <c:axId val="20059952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05992303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Average of Children transferred out of CBP custody</c:v>
          </c:tx>
          <c:spPr>
            <a:ln w="28575" cap="rnd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</c:marker>
          <c:trendline>
            <c:spPr>
              <a:ln w="19046" cap="rnd">
                <a:solidFill>
                  <a:srgbClr val="4472C4"/>
                </a:solidFill>
                <a:custDash>
                  <a:ds d="100000" sp="100000"/>
                </a:custDash>
              </a:ln>
            </c:spPr>
            <c:trendlineType val="linear"/>
            <c:dispRSqr val="0"/>
            <c:dispEq val="0"/>
          </c:trendline>
          <c:cat>
            <c:strLit>
              <c:ptCount val="36"/>
              <c:pt idx="0">
                <c:v>2023-01</c:v>
              </c:pt>
              <c:pt idx="1">
                <c:v>2023-02</c:v>
              </c:pt>
              <c:pt idx="2">
                <c:v>2023-03</c:v>
              </c:pt>
              <c:pt idx="3">
                <c:v>2023-04</c:v>
              </c:pt>
              <c:pt idx="4">
                <c:v>2023-05</c:v>
              </c:pt>
              <c:pt idx="5">
                <c:v>2023-06</c:v>
              </c:pt>
              <c:pt idx="6">
                <c:v>2023-07</c:v>
              </c:pt>
              <c:pt idx="7">
                <c:v>2023-08</c:v>
              </c:pt>
              <c:pt idx="8">
                <c:v>2023-09</c:v>
              </c:pt>
              <c:pt idx="9">
                <c:v>2023-10</c:v>
              </c:pt>
              <c:pt idx="10">
                <c:v>2023-11</c:v>
              </c:pt>
              <c:pt idx="11">
                <c:v>2023-12</c:v>
              </c:pt>
              <c:pt idx="12">
                <c:v>2024-01</c:v>
              </c:pt>
              <c:pt idx="13">
                <c:v>2024-02</c:v>
              </c:pt>
              <c:pt idx="14">
                <c:v>2024-03</c:v>
              </c:pt>
              <c:pt idx="15">
                <c:v>2024-04</c:v>
              </c:pt>
              <c:pt idx="16">
                <c:v>2024-05</c:v>
              </c:pt>
              <c:pt idx="17">
                <c:v>2024-06</c:v>
              </c:pt>
              <c:pt idx="18">
                <c:v>2024-07</c:v>
              </c:pt>
              <c:pt idx="19">
                <c:v>2024-08</c:v>
              </c:pt>
              <c:pt idx="20">
                <c:v>2024-09</c:v>
              </c:pt>
              <c:pt idx="21">
                <c:v>2024-10</c:v>
              </c:pt>
              <c:pt idx="22">
                <c:v>2024-11</c:v>
              </c:pt>
              <c:pt idx="23">
                <c:v>2024-12</c:v>
              </c:pt>
              <c:pt idx="24">
                <c:v>2025-01</c:v>
              </c:pt>
              <c:pt idx="25">
                <c:v>2025-02</c:v>
              </c:pt>
              <c:pt idx="26">
                <c:v>2025-03</c:v>
              </c:pt>
              <c:pt idx="27">
                <c:v>2025-04</c:v>
              </c:pt>
              <c:pt idx="28">
                <c:v>2025-05</c:v>
              </c:pt>
              <c:pt idx="29">
                <c:v>2025-06</c:v>
              </c:pt>
              <c:pt idx="30">
                <c:v>2025-07</c:v>
              </c:pt>
              <c:pt idx="31">
                <c:v>2025-08</c:v>
              </c:pt>
              <c:pt idx="32">
                <c:v>2025-09</c:v>
              </c:pt>
              <c:pt idx="33">
                <c:v>2025-10</c:v>
              </c:pt>
              <c:pt idx="34">
                <c:v>2025-11</c:v>
              </c:pt>
              <c:pt idx="35">
                <c:v>2025-12</c:v>
              </c:pt>
            </c:strLit>
          </c:cat>
          <c:val>
            <c:numLit>
              <c:formatCode>General</c:formatCode>
              <c:ptCount val="36"/>
              <c:pt idx="0">
                <c:v>34.5</c:v>
              </c:pt>
              <c:pt idx="1">
                <c:v>138.78947368421052</c:v>
              </c:pt>
              <c:pt idx="2">
                <c:v>178.89473684210526</c:v>
              </c:pt>
              <c:pt idx="3">
                <c:v>188.9047619047619</c:v>
              </c:pt>
              <c:pt idx="4">
                <c:v>164.63636363636363</c:v>
              </c:pt>
              <c:pt idx="5">
                <c:v>120.8</c:v>
              </c:pt>
              <c:pt idx="6">
                <c:v>185.57142857142858</c:v>
              </c:pt>
              <c:pt idx="7">
                <c:v>179.35</c:v>
              </c:pt>
              <c:pt idx="8">
                <c:v>209</c:v>
              </c:pt>
              <c:pt idx="9">
                <c:v>93.13636363636364</c:v>
              </c:pt>
              <c:pt idx="10">
                <c:v>159.9</c:v>
              </c:pt>
              <c:pt idx="11">
                <c:v>163.42105263157896</c:v>
              </c:pt>
              <c:pt idx="12">
                <c:v>129.54545454545453</c:v>
              </c:pt>
              <c:pt idx="13">
                <c:v>316.60000000000002</c:v>
              </c:pt>
              <c:pt idx="14">
                <c:v>248.04761904761904</c:v>
              </c:pt>
              <c:pt idx="15">
                <c:v>235.36363636363637</c:v>
              </c:pt>
              <c:pt idx="16">
                <c:v>247.33333333333334</c:v>
              </c:pt>
              <c:pt idx="17">
                <c:v>232.47619047619048</c:v>
              </c:pt>
              <c:pt idx="18">
                <c:v>175.1904761904762</c:v>
              </c:pt>
              <c:pt idx="19">
                <c:v>186.63157894736841</c:v>
              </c:pt>
              <c:pt idx="20">
                <c:v>181.22727272727272</c:v>
              </c:pt>
              <c:pt idx="21">
                <c:v>185.04761904761904</c:v>
              </c:pt>
              <c:pt idx="22">
                <c:v>179.68421052631578</c:v>
              </c:pt>
              <c:pt idx="23">
                <c:v>199.77272727272728</c:v>
              </c:pt>
              <c:pt idx="24">
                <c:v>79.545454545454547</c:v>
              </c:pt>
              <c:pt idx="25">
                <c:v>17.94736842105263</c:v>
              </c:pt>
              <c:pt idx="26">
                <c:v>8.6363636363636367</c:v>
              </c:pt>
              <c:pt idx="27">
                <c:v>10</c:v>
              </c:pt>
              <c:pt idx="28">
                <c:v>14</c:v>
              </c:pt>
              <c:pt idx="29">
                <c:v>8.117647058823529</c:v>
              </c:pt>
              <c:pt idx="30">
                <c:v>4.1904761904761907</c:v>
              </c:pt>
              <c:pt idx="31">
                <c:v>7.35</c:v>
              </c:pt>
              <c:pt idx="32">
                <c:v>11.818181818181818</c:v>
              </c:pt>
              <c:pt idx="33">
                <c:v>12.523809523809524</c:v>
              </c:pt>
              <c:pt idx="34">
                <c:v>9.5789473684210531</c:v>
              </c:pt>
              <c:pt idx="35">
                <c:v>8.2666666666666675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160-43E0-93A8-E81CA12F5B2B}"/>
            </c:ext>
          </c:extLst>
        </c:ser>
        <c:ser>
          <c:idx val="1"/>
          <c:order val="1"/>
          <c:tx>
            <c:v>Average of Children discharged from HHS Care</c:v>
          </c:tx>
          <c:spPr>
            <a:ln w="28575" cap="rnd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5"/>
          </c:marker>
          <c:cat>
            <c:strLit>
              <c:ptCount val="36"/>
              <c:pt idx="0">
                <c:v>2023-01</c:v>
              </c:pt>
              <c:pt idx="1">
                <c:v>2023-02</c:v>
              </c:pt>
              <c:pt idx="2">
                <c:v>2023-03</c:v>
              </c:pt>
              <c:pt idx="3">
                <c:v>2023-04</c:v>
              </c:pt>
              <c:pt idx="4">
                <c:v>2023-05</c:v>
              </c:pt>
              <c:pt idx="5">
                <c:v>2023-06</c:v>
              </c:pt>
              <c:pt idx="6">
                <c:v>2023-07</c:v>
              </c:pt>
              <c:pt idx="7">
                <c:v>2023-08</c:v>
              </c:pt>
              <c:pt idx="8">
                <c:v>2023-09</c:v>
              </c:pt>
              <c:pt idx="9">
                <c:v>2023-10</c:v>
              </c:pt>
              <c:pt idx="10">
                <c:v>2023-11</c:v>
              </c:pt>
              <c:pt idx="11">
                <c:v>2023-12</c:v>
              </c:pt>
              <c:pt idx="12">
                <c:v>2024-01</c:v>
              </c:pt>
              <c:pt idx="13">
                <c:v>2024-02</c:v>
              </c:pt>
              <c:pt idx="14">
                <c:v>2024-03</c:v>
              </c:pt>
              <c:pt idx="15">
                <c:v>2024-04</c:v>
              </c:pt>
              <c:pt idx="16">
                <c:v>2024-05</c:v>
              </c:pt>
              <c:pt idx="17">
                <c:v>2024-06</c:v>
              </c:pt>
              <c:pt idx="18">
                <c:v>2024-07</c:v>
              </c:pt>
              <c:pt idx="19">
                <c:v>2024-08</c:v>
              </c:pt>
              <c:pt idx="20">
                <c:v>2024-09</c:v>
              </c:pt>
              <c:pt idx="21">
                <c:v>2024-10</c:v>
              </c:pt>
              <c:pt idx="22">
                <c:v>2024-11</c:v>
              </c:pt>
              <c:pt idx="23">
                <c:v>2024-12</c:v>
              </c:pt>
              <c:pt idx="24">
                <c:v>2025-01</c:v>
              </c:pt>
              <c:pt idx="25">
                <c:v>2025-02</c:v>
              </c:pt>
              <c:pt idx="26">
                <c:v>2025-03</c:v>
              </c:pt>
              <c:pt idx="27">
                <c:v>2025-04</c:v>
              </c:pt>
              <c:pt idx="28">
                <c:v>2025-05</c:v>
              </c:pt>
              <c:pt idx="29">
                <c:v>2025-06</c:v>
              </c:pt>
              <c:pt idx="30">
                <c:v>2025-07</c:v>
              </c:pt>
              <c:pt idx="31">
                <c:v>2025-08</c:v>
              </c:pt>
              <c:pt idx="32">
                <c:v>2025-09</c:v>
              </c:pt>
              <c:pt idx="33">
                <c:v>2025-10</c:v>
              </c:pt>
              <c:pt idx="34">
                <c:v>2025-11</c:v>
              </c:pt>
              <c:pt idx="35">
                <c:v>2025-12</c:v>
              </c:pt>
            </c:strLit>
          </c:cat>
          <c:val>
            <c:numLit>
              <c:formatCode>General</c:formatCode>
              <c:ptCount val="36"/>
              <c:pt idx="0">
                <c:v>232</c:v>
              </c:pt>
              <c:pt idx="1">
                <c:v>272.78947368421052</c:v>
              </c:pt>
              <c:pt idx="2">
                <c:v>282.89473684210526</c:v>
              </c:pt>
              <c:pt idx="3">
                <c:v>269.90476190476193</c:v>
              </c:pt>
              <c:pt idx="4">
                <c:v>284.36363636363637</c:v>
              </c:pt>
              <c:pt idx="5">
                <c:v>201.45</c:v>
              </c:pt>
              <c:pt idx="6">
                <c:v>209.85714285714286</c:v>
              </c:pt>
              <c:pt idx="7">
                <c:v>323.5</c:v>
              </c:pt>
              <c:pt idx="8">
                <c:v>344.5263157894737</c:v>
              </c:pt>
              <c:pt idx="9">
                <c:v>348.09090909090907</c:v>
              </c:pt>
              <c:pt idx="10">
                <c:v>299.60000000000002</c:v>
              </c:pt>
              <c:pt idx="11">
                <c:v>358.10526315789474</c:v>
              </c:pt>
              <c:pt idx="12">
                <c:v>295.27272727272725</c:v>
              </c:pt>
              <c:pt idx="13">
                <c:v>263.64999999999998</c:v>
              </c:pt>
              <c:pt idx="14">
                <c:v>270.38095238095241</c:v>
              </c:pt>
              <c:pt idx="15">
                <c:v>203.36363636363637</c:v>
              </c:pt>
              <c:pt idx="16">
                <c:v>206.47619047619048</c:v>
              </c:pt>
              <c:pt idx="17">
                <c:v>233.85714285714286</c:v>
              </c:pt>
              <c:pt idx="18">
                <c:v>185.66666666666666</c:v>
              </c:pt>
              <c:pt idx="19">
                <c:v>161.73684210526315</c:v>
              </c:pt>
              <c:pt idx="20">
                <c:v>167.81818181818181</c:v>
              </c:pt>
              <c:pt idx="21">
                <c:v>152.0952380952381</c:v>
              </c:pt>
              <c:pt idx="22">
                <c:v>157.94736842105263</c:v>
              </c:pt>
              <c:pt idx="23">
                <c:v>166.45454545454547</c:v>
              </c:pt>
              <c:pt idx="24">
                <c:v>151.36363636363637</c:v>
              </c:pt>
              <c:pt idx="25">
                <c:v>61.05263157894737</c:v>
              </c:pt>
              <c:pt idx="26">
                <c:v>14.045454545454545</c:v>
              </c:pt>
              <c:pt idx="27">
                <c:v>8.8260869565217384</c:v>
              </c:pt>
              <c:pt idx="28">
                <c:v>11.388888888888889</c:v>
              </c:pt>
              <c:pt idx="29">
                <c:v>16.529411764705884</c:v>
              </c:pt>
              <c:pt idx="30">
                <c:v>18.857142857142858</c:v>
              </c:pt>
              <c:pt idx="31">
                <c:v>12.7</c:v>
              </c:pt>
              <c:pt idx="32">
                <c:v>10.772727272727273</c:v>
              </c:pt>
              <c:pt idx="33">
                <c:v>11.523809523809524</c:v>
              </c:pt>
              <c:pt idx="34">
                <c:v>8.3684210526315788</c:v>
              </c:pt>
              <c:pt idx="35">
                <c:v>9.6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0160-43E0-93A8-E81CA12F5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748463"/>
        <c:axId val="1999743471"/>
      </c:lineChart>
      <c:valAx>
        <c:axId val="1999743471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999748463"/>
        <c:crosses val="autoZero"/>
        <c:crossBetween val="between"/>
      </c:valAx>
      <c:catAx>
        <c:axId val="19997484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999743471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</c:marker>
          <c:cat>
            <c:strLit>
              <c:ptCount val="36"/>
              <c:pt idx="0">
                <c:v>2023-01</c:v>
              </c:pt>
              <c:pt idx="1">
                <c:v>2023-02</c:v>
              </c:pt>
              <c:pt idx="2">
                <c:v>2023-03</c:v>
              </c:pt>
              <c:pt idx="3">
                <c:v>2023-04</c:v>
              </c:pt>
              <c:pt idx="4">
                <c:v>2023-05</c:v>
              </c:pt>
              <c:pt idx="5">
                <c:v>2023-06</c:v>
              </c:pt>
              <c:pt idx="6">
                <c:v>2023-07</c:v>
              </c:pt>
              <c:pt idx="7">
                <c:v>2023-08</c:v>
              </c:pt>
              <c:pt idx="8">
                <c:v>2023-09</c:v>
              </c:pt>
              <c:pt idx="9">
                <c:v>2023-10</c:v>
              </c:pt>
              <c:pt idx="10">
                <c:v>2023-11</c:v>
              </c:pt>
              <c:pt idx="11">
                <c:v>2023-12</c:v>
              </c:pt>
              <c:pt idx="12">
                <c:v>2024-01</c:v>
              </c:pt>
              <c:pt idx="13">
                <c:v>2024-02</c:v>
              </c:pt>
              <c:pt idx="14">
                <c:v>2024-03</c:v>
              </c:pt>
              <c:pt idx="15">
                <c:v>2024-04</c:v>
              </c:pt>
              <c:pt idx="16">
                <c:v>2024-05</c:v>
              </c:pt>
              <c:pt idx="17">
                <c:v>2024-06</c:v>
              </c:pt>
              <c:pt idx="18">
                <c:v>2024-07</c:v>
              </c:pt>
              <c:pt idx="19">
                <c:v>2024-08</c:v>
              </c:pt>
              <c:pt idx="20">
                <c:v>2024-09</c:v>
              </c:pt>
              <c:pt idx="21">
                <c:v>2024-10</c:v>
              </c:pt>
              <c:pt idx="22">
                <c:v>2024-11</c:v>
              </c:pt>
              <c:pt idx="23">
                <c:v>2024-12</c:v>
              </c:pt>
              <c:pt idx="24">
                <c:v>2025-01</c:v>
              </c:pt>
              <c:pt idx="25">
                <c:v>2025-02</c:v>
              </c:pt>
              <c:pt idx="26">
                <c:v>2025-03</c:v>
              </c:pt>
              <c:pt idx="27">
                <c:v>2025-04</c:v>
              </c:pt>
              <c:pt idx="28">
                <c:v>2025-05</c:v>
              </c:pt>
              <c:pt idx="29">
                <c:v>2025-06</c:v>
              </c:pt>
              <c:pt idx="30">
                <c:v>2025-07</c:v>
              </c:pt>
              <c:pt idx="31">
                <c:v>2025-08</c:v>
              </c:pt>
              <c:pt idx="32">
                <c:v>2025-09</c:v>
              </c:pt>
              <c:pt idx="33">
                <c:v>2025-10</c:v>
              </c:pt>
              <c:pt idx="34">
                <c:v>2025-11</c:v>
              </c:pt>
              <c:pt idx="35">
                <c:v>2025-12</c:v>
              </c:pt>
            </c:strLit>
          </c:cat>
          <c:val>
            <c:numLit>
              <c:formatCode>General</c:formatCode>
              <c:ptCount val="36"/>
              <c:pt idx="0">
                <c:v>-197.5</c:v>
              </c:pt>
              <c:pt idx="1">
                <c:v>-134</c:v>
              </c:pt>
              <c:pt idx="2">
                <c:v>-104</c:v>
              </c:pt>
              <c:pt idx="3">
                <c:v>-81</c:v>
              </c:pt>
              <c:pt idx="4">
                <c:v>-119.72727272727273</c:v>
              </c:pt>
              <c:pt idx="5">
                <c:v>-80.650000000000006</c:v>
              </c:pt>
              <c:pt idx="6">
                <c:v>-24.285714285714285</c:v>
              </c:pt>
              <c:pt idx="7">
                <c:v>-144.15</c:v>
              </c:pt>
              <c:pt idx="8">
                <c:v>-135.52631578947367</c:v>
              </c:pt>
              <c:pt idx="9">
                <c:v>-254.95454545454547</c:v>
              </c:pt>
              <c:pt idx="10">
                <c:v>-139.69999999999999</c:v>
              </c:pt>
              <c:pt idx="11">
                <c:v>-194.68421052631578</c:v>
              </c:pt>
              <c:pt idx="12">
                <c:v>-165.72727272727272</c:v>
              </c:pt>
              <c:pt idx="13">
                <c:v>52.95</c:v>
              </c:pt>
              <c:pt idx="14">
                <c:v>-22.333333333333332</c:v>
              </c:pt>
              <c:pt idx="15">
                <c:v>32</c:v>
              </c:pt>
              <c:pt idx="16">
                <c:v>40.857142857142854</c:v>
              </c:pt>
              <c:pt idx="17">
                <c:v>-1.3809523809523809</c:v>
              </c:pt>
              <c:pt idx="18">
                <c:v>-10.476190476190476</c:v>
              </c:pt>
              <c:pt idx="19">
                <c:v>24.894736842105264</c:v>
              </c:pt>
              <c:pt idx="20">
                <c:v>13.409090909090908</c:v>
              </c:pt>
              <c:pt idx="21">
                <c:v>32.952380952380949</c:v>
              </c:pt>
              <c:pt idx="22">
                <c:v>21.736842105263158</c:v>
              </c:pt>
              <c:pt idx="23">
                <c:v>33.31818181818182</c:v>
              </c:pt>
              <c:pt idx="24">
                <c:v>-71.818181818181813</c:v>
              </c:pt>
              <c:pt idx="25">
                <c:v>-43.10526315789474</c:v>
              </c:pt>
              <c:pt idx="26">
                <c:v>-5.4090909090909092</c:v>
              </c:pt>
              <c:pt idx="27">
                <c:v>1.173913043478261</c:v>
              </c:pt>
              <c:pt idx="28">
                <c:v>2.6111111111111112</c:v>
              </c:pt>
              <c:pt idx="29">
                <c:v>-8.4117647058823533</c:v>
              </c:pt>
              <c:pt idx="30">
                <c:v>-14.666666666666666</c:v>
              </c:pt>
              <c:pt idx="31">
                <c:v>-5.35</c:v>
              </c:pt>
              <c:pt idx="32">
                <c:v>1.0454545454545454</c:v>
              </c:pt>
              <c:pt idx="33">
                <c:v>1</c:v>
              </c:pt>
              <c:pt idx="34">
                <c:v>1.2105263157894737</c:v>
              </c:pt>
              <c:pt idx="35">
                <c:v>-1.3333333333333333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72F-47BC-A187-AD18EE19E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758447"/>
        <c:axId val="1999751375"/>
      </c:lineChart>
      <c:valAx>
        <c:axId val="1999751375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999758447"/>
        <c:crosses val="autoZero"/>
        <c:crossBetween val="between"/>
      </c:valAx>
      <c:catAx>
        <c:axId val="19997584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999751375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zero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vert="horz" lIns="0" tIns="0" rIns="0" bIns="0"/>
          <a:lstStyle/>
          <a:p>
            <a:pPr marL="0" marR="0" indent="0" algn="ctr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IN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 Moving/Rolling Averages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4472C4"/>
              </a:solidFill>
              <a:prstDash val="solid"/>
              <a:round/>
            </a:ln>
          </c:spPr>
          <c:marker>
            <c:symbol val="none"/>
          </c:marker>
          <c:trendline>
            <c:spPr>
              <a:ln w="19046" cap="rnd">
                <a:solidFill>
                  <a:srgbClr val="4472C4"/>
                </a:solidFill>
                <a:custDash>
                  <a:ds d="100000" sp="100000"/>
                </a:custDash>
              </a:ln>
            </c:spPr>
            <c:trendlineType val="linear"/>
            <c:dispRSqr val="0"/>
            <c:dispEq val="0"/>
          </c:trendline>
          <c:val>
            <c:numRef>
              <c:f>HHS_Unaccompanied_Alien_Childre!$P$2:$P$1171</c:f>
              <c:numCache>
                <c:formatCode>0</c:formatCode>
                <c:ptCount val="1170"/>
                <c:pt idx="0">
                  <c:v>7527</c:v>
                </c:pt>
                <c:pt idx="1">
                  <c:v>7527</c:v>
                </c:pt>
                <c:pt idx="2">
                  <c:v>7636.1428571428569</c:v>
                </c:pt>
                <c:pt idx="3">
                  <c:v>7716.4285714285716</c:v>
                </c:pt>
                <c:pt idx="4">
                  <c:v>7734.8571428571431</c:v>
                </c:pt>
                <c:pt idx="5">
                  <c:v>7760.8571428571431</c:v>
                </c:pt>
                <c:pt idx="6">
                  <c:v>7812</c:v>
                </c:pt>
                <c:pt idx="7">
                  <c:v>7856.8571428571431</c:v>
                </c:pt>
                <c:pt idx="8">
                  <c:v>7900.1428571428569</c:v>
                </c:pt>
                <c:pt idx="9">
                  <c:v>7857.5714285714284</c:v>
                </c:pt>
                <c:pt idx="10">
                  <c:v>7836.1428571428569</c:v>
                </c:pt>
                <c:pt idx="11">
                  <c:v>7895.4285714285716</c:v>
                </c:pt>
                <c:pt idx="12">
                  <c:v>7942</c:v>
                </c:pt>
                <c:pt idx="13">
                  <c:v>7960.7142857142853</c:v>
                </c:pt>
                <c:pt idx="14">
                  <c:v>7959.4285714285716</c:v>
                </c:pt>
                <c:pt idx="15">
                  <c:v>7979.2857142857147</c:v>
                </c:pt>
                <c:pt idx="16">
                  <c:v>8058.7142857142853</c:v>
                </c:pt>
                <c:pt idx="17">
                  <c:v>8106.4285714285716</c:v>
                </c:pt>
                <c:pt idx="18">
                  <c:v>8075</c:v>
                </c:pt>
                <c:pt idx="19">
                  <c:v>8070.8571428571431</c:v>
                </c:pt>
                <c:pt idx="20">
                  <c:v>8086</c:v>
                </c:pt>
                <c:pt idx="21">
                  <c:v>8084</c:v>
                </c:pt>
                <c:pt idx="22">
                  <c:v>8057.7142857142853</c:v>
                </c:pt>
                <c:pt idx="23">
                  <c:v>8040.5714285714284</c:v>
                </c:pt>
                <c:pt idx="24">
                  <c:v>8043</c:v>
                </c:pt>
                <c:pt idx="25">
                  <c:v>8081.8571428571431</c:v>
                </c:pt>
                <c:pt idx="26">
                  <c:v>8047.2857142857147</c:v>
                </c:pt>
                <c:pt idx="27">
                  <c:v>8043.5714285714284</c:v>
                </c:pt>
                <c:pt idx="28">
                  <c:v>8050.2857142857147</c:v>
                </c:pt>
                <c:pt idx="29">
                  <c:v>8074.8571428571431</c:v>
                </c:pt>
                <c:pt idx="30">
                  <c:v>8090</c:v>
                </c:pt>
                <c:pt idx="31">
                  <c:v>8111.5714285714284</c:v>
                </c:pt>
                <c:pt idx="32">
                  <c:v>8147.4285714285716</c:v>
                </c:pt>
                <c:pt idx="33">
                  <c:v>8229.8571428571431</c:v>
                </c:pt>
                <c:pt idx="34">
                  <c:v>8271.5714285714294</c:v>
                </c:pt>
                <c:pt idx="35">
                  <c:v>8265.5714285714294</c:v>
                </c:pt>
                <c:pt idx="36">
                  <c:v>8250.7142857142862</c:v>
                </c:pt>
                <c:pt idx="37">
                  <c:v>8266.2857142857138</c:v>
                </c:pt>
                <c:pt idx="38">
                  <c:v>8296.1428571428569</c:v>
                </c:pt>
                <c:pt idx="39">
                  <c:v>8309.2857142857138</c:v>
                </c:pt>
                <c:pt idx="40">
                  <c:v>8286.2857142857138</c:v>
                </c:pt>
                <c:pt idx="41">
                  <c:v>8259.8571428571431</c:v>
                </c:pt>
                <c:pt idx="42">
                  <c:v>8289.8571428571431</c:v>
                </c:pt>
                <c:pt idx="43">
                  <c:v>8326.2857142857138</c:v>
                </c:pt>
                <c:pt idx="44">
                  <c:v>8341.8571428571431</c:v>
                </c:pt>
                <c:pt idx="45">
                  <c:v>8292.8571428571431</c:v>
                </c:pt>
                <c:pt idx="46">
                  <c:v>8237.8571428571431</c:v>
                </c:pt>
                <c:pt idx="47">
                  <c:v>8226.1428571428569</c:v>
                </c:pt>
                <c:pt idx="48">
                  <c:v>8211.1428571428569</c:v>
                </c:pt>
                <c:pt idx="49">
                  <c:v>8169.1428571428569</c:v>
                </c:pt>
                <c:pt idx="50">
                  <c:v>8061</c:v>
                </c:pt>
                <c:pt idx="51">
                  <c:v>7953</c:v>
                </c:pt>
                <c:pt idx="52">
                  <c:v>7887</c:v>
                </c:pt>
                <c:pt idx="53">
                  <c:v>7843.2857142857147</c:v>
                </c:pt>
                <c:pt idx="54">
                  <c:v>7791.7142857142853</c:v>
                </c:pt>
                <c:pt idx="55">
                  <c:v>7756.2857142857147</c:v>
                </c:pt>
                <c:pt idx="56">
                  <c:v>7773</c:v>
                </c:pt>
                <c:pt idx="57">
                  <c:v>7856.4285714285716</c:v>
                </c:pt>
                <c:pt idx="58">
                  <c:v>7959.4285714285716</c:v>
                </c:pt>
                <c:pt idx="59">
                  <c:v>8072.8571428571431</c:v>
                </c:pt>
                <c:pt idx="60">
                  <c:v>8197.4285714285706</c:v>
                </c:pt>
                <c:pt idx="61">
                  <c:v>8345.5714285714294</c:v>
                </c:pt>
                <c:pt idx="62">
                  <c:v>8508.4285714285706</c:v>
                </c:pt>
                <c:pt idx="63">
                  <c:v>8641.4285714285706</c:v>
                </c:pt>
                <c:pt idx="64">
                  <c:v>8755.1428571428569</c:v>
                </c:pt>
                <c:pt idx="65">
                  <c:v>8820.8571428571431</c:v>
                </c:pt>
                <c:pt idx="66">
                  <c:v>8883</c:v>
                </c:pt>
                <c:pt idx="67">
                  <c:v>8928.8571428571431</c:v>
                </c:pt>
                <c:pt idx="68">
                  <c:v>8951.5714285714294</c:v>
                </c:pt>
                <c:pt idx="69">
                  <c:v>8966.4285714285706</c:v>
                </c:pt>
                <c:pt idx="70">
                  <c:v>8915.4285714285706</c:v>
                </c:pt>
                <c:pt idx="71">
                  <c:v>8890</c:v>
                </c:pt>
                <c:pt idx="72">
                  <c:v>8897.7142857142862</c:v>
                </c:pt>
                <c:pt idx="73">
                  <c:v>8876.8571428571431</c:v>
                </c:pt>
                <c:pt idx="74">
                  <c:v>8831.1428571428569</c:v>
                </c:pt>
                <c:pt idx="75">
                  <c:v>8692.5714285714294</c:v>
                </c:pt>
                <c:pt idx="76">
                  <c:v>8538.2857142857138</c:v>
                </c:pt>
                <c:pt idx="77">
                  <c:v>8417.4285714285706</c:v>
                </c:pt>
                <c:pt idx="78">
                  <c:v>8262.2857142857138</c:v>
                </c:pt>
                <c:pt idx="79">
                  <c:v>8082.7142857142853</c:v>
                </c:pt>
                <c:pt idx="80">
                  <c:v>7843.4285714285716</c:v>
                </c:pt>
                <c:pt idx="81">
                  <c:v>7633.8571428571431</c:v>
                </c:pt>
                <c:pt idx="82">
                  <c:v>7510.5714285714284</c:v>
                </c:pt>
                <c:pt idx="83">
                  <c:v>7379.1428571428569</c:v>
                </c:pt>
                <c:pt idx="84">
                  <c:v>7208.2857142857147</c:v>
                </c:pt>
                <c:pt idx="85">
                  <c:v>7044.1428571428569</c:v>
                </c:pt>
                <c:pt idx="86">
                  <c:v>6903.1428571428569</c:v>
                </c:pt>
                <c:pt idx="87">
                  <c:v>6844.4285714285716</c:v>
                </c:pt>
                <c:pt idx="88">
                  <c:v>6774.8571428571431</c:v>
                </c:pt>
                <c:pt idx="89">
                  <c:v>6635.7142857142853</c:v>
                </c:pt>
                <c:pt idx="90">
                  <c:v>6500.7142857142853</c:v>
                </c:pt>
                <c:pt idx="91">
                  <c:v>6424.5714285714284</c:v>
                </c:pt>
                <c:pt idx="92">
                  <c:v>6357.7142857142853</c:v>
                </c:pt>
                <c:pt idx="93">
                  <c:v>6283.5714285714284</c:v>
                </c:pt>
                <c:pt idx="94">
                  <c:v>6152.8571428571431</c:v>
                </c:pt>
                <c:pt idx="95">
                  <c:v>6055</c:v>
                </c:pt>
                <c:pt idx="96">
                  <c:v>6049.1428571428569</c:v>
                </c:pt>
                <c:pt idx="97">
                  <c:v>6056.4285714285716</c:v>
                </c:pt>
                <c:pt idx="98">
                  <c:v>6034.1428571428569</c:v>
                </c:pt>
                <c:pt idx="99">
                  <c:v>6022.1428571428569</c:v>
                </c:pt>
                <c:pt idx="100">
                  <c:v>6026.2857142857147</c:v>
                </c:pt>
                <c:pt idx="101">
                  <c:v>6093.1428571428569</c:v>
                </c:pt>
                <c:pt idx="102">
                  <c:v>6138</c:v>
                </c:pt>
                <c:pt idx="103">
                  <c:v>6148</c:v>
                </c:pt>
                <c:pt idx="104">
                  <c:v>6183.8571428571431</c:v>
                </c:pt>
                <c:pt idx="105">
                  <c:v>6246.5714285714284</c:v>
                </c:pt>
                <c:pt idx="106">
                  <c:v>6292.7142857142853</c:v>
                </c:pt>
                <c:pt idx="107">
                  <c:v>6330.1428571428569</c:v>
                </c:pt>
                <c:pt idx="108">
                  <c:v>6385.4285714285716</c:v>
                </c:pt>
                <c:pt idx="109">
                  <c:v>6448.7142857142853</c:v>
                </c:pt>
                <c:pt idx="110">
                  <c:v>6518.8571428571431</c:v>
                </c:pt>
                <c:pt idx="111">
                  <c:v>6574.5714285714284</c:v>
                </c:pt>
                <c:pt idx="112">
                  <c:v>6613.7142857142853</c:v>
                </c:pt>
                <c:pt idx="113">
                  <c:v>6676.4285714285716</c:v>
                </c:pt>
                <c:pt idx="114">
                  <c:v>6784.2857142857147</c:v>
                </c:pt>
                <c:pt idx="115">
                  <c:v>6876.5714285714284</c:v>
                </c:pt>
                <c:pt idx="116">
                  <c:v>6973.4285714285716</c:v>
                </c:pt>
                <c:pt idx="117">
                  <c:v>7058.1428571428569</c:v>
                </c:pt>
                <c:pt idx="118">
                  <c:v>7153.7142857142853</c:v>
                </c:pt>
                <c:pt idx="119">
                  <c:v>7314</c:v>
                </c:pt>
                <c:pt idx="120">
                  <c:v>7474</c:v>
                </c:pt>
                <c:pt idx="121">
                  <c:v>7597.8571428571431</c:v>
                </c:pt>
                <c:pt idx="122">
                  <c:v>7700.2857142857147</c:v>
                </c:pt>
                <c:pt idx="123">
                  <c:v>7798</c:v>
                </c:pt>
                <c:pt idx="124">
                  <c:v>7951.8571428571431</c:v>
                </c:pt>
                <c:pt idx="125">
                  <c:v>8085</c:v>
                </c:pt>
                <c:pt idx="126">
                  <c:v>8184.8571428571431</c:v>
                </c:pt>
                <c:pt idx="127">
                  <c:v>8268.1428571428569</c:v>
                </c:pt>
                <c:pt idx="128">
                  <c:v>8371.4285714285706</c:v>
                </c:pt>
                <c:pt idx="129">
                  <c:v>8515.5714285714294</c:v>
                </c:pt>
                <c:pt idx="130">
                  <c:v>8651.4285714285706</c:v>
                </c:pt>
                <c:pt idx="131">
                  <c:v>8765.7142857142862</c:v>
                </c:pt>
                <c:pt idx="132">
                  <c:v>8972.4285714285706</c:v>
                </c:pt>
                <c:pt idx="133">
                  <c:v>9173.8571428571431</c:v>
                </c:pt>
                <c:pt idx="134">
                  <c:v>9338.1428571428569</c:v>
                </c:pt>
                <c:pt idx="135">
                  <c:v>9498.4285714285706</c:v>
                </c:pt>
                <c:pt idx="136">
                  <c:v>9666</c:v>
                </c:pt>
                <c:pt idx="137">
                  <c:v>9845.4285714285706</c:v>
                </c:pt>
                <c:pt idx="138">
                  <c:v>10001.285714285714</c:v>
                </c:pt>
                <c:pt idx="139">
                  <c:v>10040.857142857143</c:v>
                </c:pt>
                <c:pt idx="140">
                  <c:v>10097.428571428571</c:v>
                </c:pt>
                <c:pt idx="141">
                  <c:v>10205.857142857143</c:v>
                </c:pt>
                <c:pt idx="142">
                  <c:v>10316.714285714286</c:v>
                </c:pt>
                <c:pt idx="143">
                  <c:v>10358.142857142857</c:v>
                </c:pt>
                <c:pt idx="144">
                  <c:v>10359.714285714286</c:v>
                </c:pt>
                <c:pt idx="145">
                  <c:v>10392.857142857143</c:v>
                </c:pt>
                <c:pt idx="146">
                  <c:v>10454.285714285714</c:v>
                </c:pt>
                <c:pt idx="147">
                  <c:v>10505</c:v>
                </c:pt>
                <c:pt idx="148">
                  <c:v>10521.142857142857</c:v>
                </c:pt>
                <c:pt idx="149">
                  <c:v>10533.714285714286</c:v>
                </c:pt>
                <c:pt idx="150">
                  <c:v>10611.428571428571</c:v>
                </c:pt>
                <c:pt idx="151">
                  <c:v>10712.857142857143</c:v>
                </c:pt>
                <c:pt idx="152">
                  <c:v>10815.428571428571</c:v>
                </c:pt>
                <c:pt idx="153">
                  <c:v>10882</c:v>
                </c:pt>
                <c:pt idx="154">
                  <c:v>10962.714285714286</c:v>
                </c:pt>
                <c:pt idx="155">
                  <c:v>11079.428571428571</c:v>
                </c:pt>
                <c:pt idx="156">
                  <c:v>11170.714285714286</c:v>
                </c:pt>
                <c:pt idx="157">
                  <c:v>11226.142857142857</c:v>
                </c:pt>
                <c:pt idx="158">
                  <c:v>11247.857142857143</c:v>
                </c:pt>
                <c:pt idx="159">
                  <c:v>11234.571428571429</c:v>
                </c:pt>
                <c:pt idx="160">
                  <c:v>11266</c:v>
                </c:pt>
                <c:pt idx="161">
                  <c:v>11279.142857142857</c:v>
                </c:pt>
                <c:pt idx="162">
                  <c:v>11245.428571428571</c:v>
                </c:pt>
                <c:pt idx="163">
                  <c:v>11152</c:v>
                </c:pt>
                <c:pt idx="164">
                  <c:v>11086.571428571429</c:v>
                </c:pt>
                <c:pt idx="165">
                  <c:v>11060.571428571429</c:v>
                </c:pt>
                <c:pt idx="166">
                  <c:v>11050.857142857143</c:v>
                </c:pt>
                <c:pt idx="167">
                  <c:v>11040.571428571429</c:v>
                </c:pt>
                <c:pt idx="168">
                  <c:v>10978.714285714286</c:v>
                </c:pt>
                <c:pt idx="169">
                  <c:v>10953.571428571429</c:v>
                </c:pt>
                <c:pt idx="170">
                  <c:v>10999.714285714286</c:v>
                </c:pt>
                <c:pt idx="171">
                  <c:v>11025.142857142857</c:v>
                </c:pt>
                <c:pt idx="172">
                  <c:v>10979.285714285714</c:v>
                </c:pt>
                <c:pt idx="173">
                  <c:v>10936.857142857143</c:v>
                </c:pt>
                <c:pt idx="174">
                  <c:v>10870.714285714286</c:v>
                </c:pt>
                <c:pt idx="175">
                  <c:v>10834.571428571429</c:v>
                </c:pt>
                <c:pt idx="176">
                  <c:v>10764.714285714286</c:v>
                </c:pt>
                <c:pt idx="177">
                  <c:v>10573.142857142857</c:v>
                </c:pt>
                <c:pt idx="178">
                  <c:v>10361.142857142857</c:v>
                </c:pt>
                <c:pt idx="179">
                  <c:v>10198.428571428571</c:v>
                </c:pt>
                <c:pt idx="180">
                  <c:v>10010.285714285714</c:v>
                </c:pt>
                <c:pt idx="181">
                  <c:v>9809.5714285714294</c:v>
                </c:pt>
                <c:pt idx="182">
                  <c:v>9576</c:v>
                </c:pt>
                <c:pt idx="183">
                  <c:v>9375.4285714285706</c:v>
                </c:pt>
                <c:pt idx="184">
                  <c:v>9293</c:v>
                </c:pt>
                <c:pt idx="185">
                  <c:v>9278.2857142857138</c:v>
                </c:pt>
                <c:pt idx="186">
                  <c:v>9297.7142857142862</c:v>
                </c:pt>
                <c:pt idx="187">
                  <c:v>9310.2857142857138</c:v>
                </c:pt>
                <c:pt idx="188">
                  <c:v>9337</c:v>
                </c:pt>
                <c:pt idx="189">
                  <c:v>9439.1428571428569</c:v>
                </c:pt>
                <c:pt idx="190">
                  <c:v>9551</c:v>
                </c:pt>
                <c:pt idx="191">
                  <c:v>9624.1428571428569</c:v>
                </c:pt>
                <c:pt idx="192">
                  <c:v>9652.4285714285706</c:v>
                </c:pt>
                <c:pt idx="193">
                  <c:v>9680.4285714285706</c:v>
                </c:pt>
                <c:pt idx="194">
                  <c:v>9739.8571428571431</c:v>
                </c:pt>
                <c:pt idx="195">
                  <c:v>9799.7142857142862</c:v>
                </c:pt>
                <c:pt idx="196">
                  <c:v>9806.2857142857138</c:v>
                </c:pt>
                <c:pt idx="197">
                  <c:v>9801</c:v>
                </c:pt>
                <c:pt idx="198">
                  <c:v>9860</c:v>
                </c:pt>
                <c:pt idx="199">
                  <c:v>9914.7142857142862</c:v>
                </c:pt>
                <c:pt idx="200">
                  <c:v>9942.5714285714294</c:v>
                </c:pt>
                <c:pt idx="201">
                  <c:v>9983.4285714285706</c:v>
                </c:pt>
                <c:pt idx="202">
                  <c:v>10038.857142857143</c:v>
                </c:pt>
                <c:pt idx="203">
                  <c:v>10145.142857142857</c:v>
                </c:pt>
                <c:pt idx="204">
                  <c:v>10264.714285714286</c:v>
                </c:pt>
                <c:pt idx="205">
                  <c:v>10373.857142857143</c:v>
                </c:pt>
                <c:pt idx="206">
                  <c:v>10484.857142857143</c:v>
                </c:pt>
                <c:pt idx="207">
                  <c:v>10620.571428571429</c:v>
                </c:pt>
                <c:pt idx="208">
                  <c:v>10743.428571428571</c:v>
                </c:pt>
                <c:pt idx="209">
                  <c:v>10858.142857142857</c:v>
                </c:pt>
                <c:pt idx="210">
                  <c:v>10942.714285714286</c:v>
                </c:pt>
                <c:pt idx="211">
                  <c:v>11013.857142857143</c:v>
                </c:pt>
                <c:pt idx="212">
                  <c:v>11076.142857142857</c:v>
                </c:pt>
                <c:pt idx="213">
                  <c:v>11151.857142857143</c:v>
                </c:pt>
                <c:pt idx="214">
                  <c:v>11210.142857142857</c:v>
                </c:pt>
                <c:pt idx="215">
                  <c:v>11239.142857142857</c:v>
                </c:pt>
                <c:pt idx="216">
                  <c:v>11268.857142857143</c:v>
                </c:pt>
                <c:pt idx="217">
                  <c:v>11323</c:v>
                </c:pt>
                <c:pt idx="218">
                  <c:v>11409.285714285714</c:v>
                </c:pt>
                <c:pt idx="219">
                  <c:v>11459.714285714286</c:v>
                </c:pt>
                <c:pt idx="220">
                  <c:v>11455</c:v>
                </c:pt>
                <c:pt idx="221">
                  <c:v>11440.714285714286</c:v>
                </c:pt>
                <c:pt idx="222">
                  <c:v>11446.571428571429</c:v>
                </c:pt>
                <c:pt idx="223">
                  <c:v>11446.571428571429</c:v>
                </c:pt>
                <c:pt idx="224">
                  <c:v>11377.714285714286</c:v>
                </c:pt>
                <c:pt idx="225">
                  <c:v>11259.142857142857</c:v>
                </c:pt>
                <c:pt idx="226">
                  <c:v>11160.714285714286</c:v>
                </c:pt>
                <c:pt idx="227">
                  <c:v>11070.714285714286</c:v>
                </c:pt>
                <c:pt idx="228">
                  <c:v>10854.857142857143</c:v>
                </c:pt>
                <c:pt idx="229">
                  <c:v>10629.857142857143</c:v>
                </c:pt>
                <c:pt idx="230">
                  <c:v>10354.285714285714</c:v>
                </c:pt>
                <c:pt idx="231">
                  <c:v>10100.714285714286</c:v>
                </c:pt>
                <c:pt idx="232">
                  <c:v>9807.5714285714294</c:v>
                </c:pt>
                <c:pt idx="233">
                  <c:v>9403.5714285714294</c:v>
                </c:pt>
                <c:pt idx="234">
                  <c:v>9042.4285714285706</c:v>
                </c:pt>
                <c:pt idx="235">
                  <c:v>8822.4285714285706</c:v>
                </c:pt>
                <c:pt idx="236">
                  <c:v>8607.5714285714294</c:v>
                </c:pt>
                <c:pt idx="237">
                  <c:v>8429.1428571428569</c:v>
                </c:pt>
                <c:pt idx="238">
                  <c:v>8291.2857142857138</c:v>
                </c:pt>
                <c:pt idx="239">
                  <c:v>8217.1428571428569</c:v>
                </c:pt>
                <c:pt idx="240">
                  <c:v>8263.1428571428569</c:v>
                </c:pt>
                <c:pt idx="241">
                  <c:v>8289.8571428571431</c:v>
                </c:pt>
                <c:pt idx="242">
                  <c:v>8291.7142857142862</c:v>
                </c:pt>
                <c:pt idx="243">
                  <c:v>8305.8571428571431</c:v>
                </c:pt>
                <c:pt idx="244">
                  <c:v>8337.4285714285706</c:v>
                </c:pt>
                <c:pt idx="245">
                  <c:v>8391.1428571428569</c:v>
                </c:pt>
                <c:pt idx="246">
                  <c:v>8408.8571428571431</c:v>
                </c:pt>
                <c:pt idx="247">
                  <c:v>8399.7142857142862</c:v>
                </c:pt>
                <c:pt idx="248">
                  <c:v>8395.2857142857138</c:v>
                </c:pt>
                <c:pt idx="249">
                  <c:v>8429.4285714285706</c:v>
                </c:pt>
                <c:pt idx="250">
                  <c:v>8470</c:v>
                </c:pt>
                <c:pt idx="251">
                  <c:v>8513.8571428571431</c:v>
                </c:pt>
                <c:pt idx="252">
                  <c:v>8505.4285714285706</c:v>
                </c:pt>
                <c:pt idx="253">
                  <c:v>8510.7142857142862</c:v>
                </c:pt>
                <c:pt idx="254">
                  <c:v>8564</c:v>
                </c:pt>
                <c:pt idx="255">
                  <c:v>8634.8571428571431</c:v>
                </c:pt>
                <c:pt idx="256">
                  <c:v>8702.1428571428569</c:v>
                </c:pt>
                <c:pt idx="257">
                  <c:v>8728.8571428571431</c:v>
                </c:pt>
                <c:pt idx="258">
                  <c:v>8756.8571428571431</c:v>
                </c:pt>
                <c:pt idx="259">
                  <c:v>8818.5714285714294</c:v>
                </c:pt>
                <c:pt idx="260">
                  <c:v>8887.8571428571431</c:v>
                </c:pt>
                <c:pt idx="261">
                  <c:v>8912</c:v>
                </c:pt>
                <c:pt idx="262">
                  <c:v>8913.1428571428569</c:v>
                </c:pt>
                <c:pt idx="263">
                  <c:v>8920</c:v>
                </c:pt>
                <c:pt idx="264">
                  <c:v>8969.4285714285706</c:v>
                </c:pt>
                <c:pt idx="265">
                  <c:v>9010.1428571428569</c:v>
                </c:pt>
                <c:pt idx="266">
                  <c:v>9018.5714285714294</c:v>
                </c:pt>
                <c:pt idx="267">
                  <c:v>9041.7142857142862</c:v>
                </c:pt>
                <c:pt idx="268">
                  <c:v>9096.8571428571431</c:v>
                </c:pt>
                <c:pt idx="269">
                  <c:v>9166.1428571428569</c:v>
                </c:pt>
                <c:pt idx="270">
                  <c:v>9210</c:v>
                </c:pt>
                <c:pt idx="271">
                  <c:v>9200.8571428571431</c:v>
                </c:pt>
                <c:pt idx="272">
                  <c:v>9190.1428571428569</c:v>
                </c:pt>
                <c:pt idx="273">
                  <c:v>9200.8571428571431</c:v>
                </c:pt>
                <c:pt idx="274">
                  <c:v>9202</c:v>
                </c:pt>
                <c:pt idx="275">
                  <c:v>9162.5714285714294</c:v>
                </c:pt>
                <c:pt idx="276">
                  <c:v>9063.4285714285706</c:v>
                </c:pt>
                <c:pt idx="277">
                  <c:v>8956.2857142857138</c:v>
                </c:pt>
                <c:pt idx="278">
                  <c:v>8886.2857142857138</c:v>
                </c:pt>
                <c:pt idx="279">
                  <c:v>8808.1428571428569</c:v>
                </c:pt>
                <c:pt idx="280">
                  <c:v>8724.7142857142862</c:v>
                </c:pt>
                <c:pt idx="281">
                  <c:v>8579.8571428571431</c:v>
                </c:pt>
                <c:pt idx="282">
                  <c:v>8457.7142857142862</c:v>
                </c:pt>
                <c:pt idx="283">
                  <c:v>8395.1428571428569</c:v>
                </c:pt>
                <c:pt idx="284">
                  <c:v>8338.5714285714294</c:v>
                </c:pt>
                <c:pt idx="285">
                  <c:v>8261.1428571428569</c:v>
                </c:pt>
                <c:pt idx="286">
                  <c:v>8113.2857142857147</c:v>
                </c:pt>
                <c:pt idx="287">
                  <c:v>7963.7142857142853</c:v>
                </c:pt>
                <c:pt idx="288">
                  <c:v>7879</c:v>
                </c:pt>
                <c:pt idx="289">
                  <c:v>7798.2857142857147</c:v>
                </c:pt>
                <c:pt idx="290">
                  <c:v>7705.1428571428569</c:v>
                </c:pt>
                <c:pt idx="291">
                  <c:v>7568.1428571428569</c:v>
                </c:pt>
                <c:pt idx="292">
                  <c:v>7449.2857142857147</c:v>
                </c:pt>
                <c:pt idx="293">
                  <c:v>7415.4285714285716</c:v>
                </c:pt>
                <c:pt idx="294">
                  <c:v>7377.8571428571431</c:v>
                </c:pt>
                <c:pt idx="295">
                  <c:v>7315.4285714285716</c:v>
                </c:pt>
                <c:pt idx="296">
                  <c:v>7215.2857142857147</c:v>
                </c:pt>
                <c:pt idx="297">
                  <c:v>7135.4285714285716</c:v>
                </c:pt>
                <c:pt idx="298">
                  <c:v>7114.8571428571431</c:v>
                </c:pt>
                <c:pt idx="299">
                  <c:v>7097.4285714285716</c:v>
                </c:pt>
                <c:pt idx="300">
                  <c:v>7065.4285714285716</c:v>
                </c:pt>
                <c:pt idx="301">
                  <c:v>7048.5714285714284</c:v>
                </c:pt>
                <c:pt idx="302">
                  <c:v>7061.4285714285716</c:v>
                </c:pt>
                <c:pt idx="303">
                  <c:v>7135.5714285714284</c:v>
                </c:pt>
                <c:pt idx="304">
                  <c:v>7214.8571428571431</c:v>
                </c:pt>
                <c:pt idx="305">
                  <c:v>7284.7142857142853</c:v>
                </c:pt>
                <c:pt idx="306">
                  <c:v>7363.4285714285716</c:v>
                </c:pt>
                <c:pt idx="307">
                  <c:v>7451.2857142857147</c:v>
                </c:pt>
                <c:pt idx="308">
                  <c:v>7558.2857142857147</c:v>
                </c:pt>
                <c:pt idx="309">
                  <c:v>7661.4285714285716</c:v>
                </c:pt>
                <c:pt idx="310">
                  <c:v>7746.2857142857147</c:v>
                </c:pt>
                <c:pt idx="311">
                  <c:v>7778.1428571428569</c:v>
                </c:pt>
                <c:pt idx="312">
                  <c:v>7809.5714285714284</c:v>
                </c:pt>
                <c:pt idx="313">
                  <c:v>7845.7142857142853</c:v>
                </c:pt>
                <c:pt idx="314">
                  <c:v>7887.4285714285716</c:v>
                </c:pt>
                <c:pt idx="315">
                  <c:v>7884.7142857142853</c:v>
                </c:pt>
                <c:pt idx="316">
                  <c:v>7859</c:v>
                </c:pt>
                <c:pt idx="317">
                  <c:v>7836.4285714285716</c:v>
                </c:pt>
                <c:pt idx="318">
                  <c:v>7865.4285714285716</c:v>
                </c:pt>
                <c:pt idx="319">
                  <c:v>7878</c:v>
                </c:pt>
                <c:pt idx="320">
                  <c:v>7878.7142857142853</c:v>
                </c:pt>
                <c:pt idx="321">
                  <c:v>7835</c:v>
                </c:pt>
                <c:pt idx="322">
                  <c:v>7803.7142857142853</c:v>
                </c:pt>
                <c:pt idx="323">
                  <c:v>7801.8571428571431</c:v>
                </c:pt>
                <c:pt idx="324">
                  <c:v>7800.8571428571431</c:v>
                </c:pt>
                <c:pt idx="325">
                  <c:v>7772.4285714285716</c:v>
                </c:pt>
                <c:pt idx="326">
                  <c:v>7748.8571428571431</c:v>
                </c:pt>
                <c:pt idx="327">
                  <c:v>7729</c:v>
                </c:pt>
                <c:pt idx="328">
                  <c:v>7772.1428571428569</c:v>
                </c:pt>
                <c:pt idx="329">
                  <c:v>7819.7142857142853</c:v>
                </c:pt>
                <c:pt idx="330">
                  <c:v>7837.4285714285716</c:v>
                </c:pt>
                <c:pt idx="331">
                  <c:v>7839.8571428571431</c:v>
                </c:pt>
                <c:pt idx="332">
                  <c:v>7862</c:v>
                </c:pt>
                <c:pt idx="333">
                  <c:v>7908.7142857142853</c:v>
                </c:pt>
                <c:pt idx="334">
                  <c:v>7951.7142857142853</c:v>
                </c:pt>
                <c:pt idx="335">
                  <c:v>7921.2857142857147</c:v>
                </c:pt>
                <c:pt idx="336">
                  <c:v>7893.2857142857147</c:v>
                </c:pt>
                <c:pt idx="337">
                  <c:v>7888.8571428571431</c:v>
                </c:pt>
                <c:pt idx="338">
                  <c:v>7885.1428571428569</c:v>
                </c:pt>
                <c:pt idx="339">
                  <c:v>7873.1428571428569</c:v>
                </c:pt>
                <c:pt idx="340">
                  <c:v>7814</c:v>
                </c:pt>
                <c:pt idx="341">
                  <c:v>7751.2857142857147</c:v>
                </c:pt>
                <c:pt idx="342">
                  <c:v>7736.5714285714284</c:v>
                </c:pt>
                <c:pt idx="343">
                  <c:v>7733.8571428571431</c:v>
                </c:pt>
                <c:pt idx="344">
                  <c:v>7710</c:v>
                </c:pt>
                <c:pt idx="345">
                  <c:v>7661.4285714285716</c:v>
                </c:pt>
                <c:pt idx="346">
                  <c:v>7601</c:v>
                </c:pt>
                <c:pt idx="347">
                  <c:v>7583.8571428571431</c:v>
                </c:pt>
                <c:pt idx="348">
                  <c:v>7566</c:v>
                </c:pt>
                <c:pt idx="349">
                  <c:v>7540.1428571428569</c:v>
                </c:pt>
                <c:pt idx="350">
                  <c:v>7447.2857142857147</c:v>
                </c:pt>
                <c:pt idx="351">
                  <c:v>7358.7142857142853</c:v>
                </c:pt>
                <c:pt idx="352">
                  <c:v>7298.8571428571431</c:v>
                </c:pt>
                <c:pt idx="353">
                  <c:v>7242</c:v>
                </c:pt>
                <c:pt idx="354">
                  <c:v>7135.8571428571431</c:v>
                </c:pt>
                <c:pt idx="355">
                  <c:v>7034</c:v>
                </c:pt>
                <c:pt idx="356">
                  <c:v>6944.8571428571431</c:v>
                </c:pt>
                <c:pt idx="357">
                  <c:v>6902.2857142857147</c:v>
                </c:pt>
                <c:pt idx="358">
                  <c:v>6867.7142857142853</c:v>
                </c:pt>
                <c:pt idx="359">
                  <c:v>6787.8571428571431</c:v>
                </c:pt>
                <c:pt idx="360">
                  <c:v>6709.5714285714284</c:v>
                </c:pt>
                <c:pt idx="361">
                  <c:v>6670.4285714285716</c:v>
                </c:pt>
                <c:pt idx="362">
                  <c:v>6622.7142857142853</c:v>
                </c:pt>
                <c:pt idx="363">
                  <c:v>6540.1428571428569</c:v>
                </c:pt>
                <c:pt idx="364">
                  <c:v>6452.2857142857147</c:v>
                </c:pt>
                <c:pt idx="365">
                  <c:v>6367.4285714285716</c:v>
                </c:pt>
                <c:pt idx="366">
                  <c:v>6325</c:v>
                </c:pt>
                <c:pt idx="367">
                  <c:v>6279.8571428571431</c:v>
                </c:pt>
                <c:pt idx="368">
                  <c:v>6215.2857142857147</c:v>
                </c:pt>
                <c:pt idx="369">
                  <c:v>6154.2857142857147</c:v>
                </c:pt>
                <c:pt idx="370">
                  <c:v>6137</c:v>
                </c:pt>
                <c:pt idx="371">
                  <c:v>6141.7142857142853</c:v>
                </c:pt>
                <c:pt idx="372">
                  <c:v>6154.8571428571431</c:v>
                </c:pt>
                <c:pt idx="373">
                  <c:v>6142.1428571428569</c:v>
                </c:pt>
                <c:pt idx="374">
                  <c:v>6150.2857142857147</c:v>
                </c:pt>
                <c:pt idx="375">
                  <c:v>6185.7142857142853</c:v>
                </c:pt>
                <c:pt idx="376">
                  <c:v>6226</c:v>
                </c:pt>
                <c:pt idx="377">
                  <c:v>6251.8571428571431</c:v>
                </c:pt>
                <c:pt idx="378">
                  <c:v>6234.8571428571431</c:v>
                </c:pt>
                <c:pt idx="379">
                  <c:v>6207.4285714285716</c:v>
                </c:pt>
                <c:pt idx="380">
                  <c:v>6223.1428571428569</c:v>
                </c:pt>
                <c:pt idx="381">
                  <c:v>6223.7142857142853</c:v>
                </c:pt>
                <c:pt idx="382">
                  <c:v>6203</c:v>
                </c:pt>
                <c:pt idx="383">
                  <c:v>6167.8571428571431</c:v>
                </c:pt>
                <c:pt idx="384">
                  <c:v>6140</c:v>
                </c:pt>
                <c:pt idx="385">
                  <c:v>6163.4285714285716</c:v>
                </c:pt>
                <c:pt idx="386">
                  <c:v>6185</c:v>
                </c:pt>
                <c:pt idx="387">
                  <c:v>6205.1428571428569</c:v>
                </c:pt>
                <c:pt idx="388">
                  <c:v>6237.1428571428569</c:v>
                </c:pt>
                <c:pt idx="389">
                  <c:v>6290.8571428571431</c:v>
                </c:pt>
                <c:pt idx="390">
                  <c:v>6359.4285714285716</c:v>
                </c:pt>
                <c:pt idx="391">
                  <c:v>6408.4285714285716</c:v>
                </c:pt>
                <c:pt idx="392">
                  <c:v>6446.4285714285716</c:v>
                </c:pt>
                <c:pt idx="393">
                  <c:v>6494</c:v>
                </c:pt>
                <c:pt idx="394">
                  <c:v>6539.2857142857147</c:v>
                </c:pt>
                <c:pt idx="395">
                  <c:v>6557.8571428571431</c:v>
                </c:pt>
                <c:pt idx="396">
                  <c:v>6574.4285714285716</c:v>
                </c:pt>
                <c:pt idx="397">
                  <c:v>6589</c:v>
                </c:pt>
                <c:pt idx="398">
                  <c:v>6617</c:v>
                </c:pt>
                <c:pt idx="399">
                  <c:v>6632</c:v>
                </c:pt>
                <c:pt idx="400">
                  <c:v>6620.5714285714284</c:v>
                </c:pt>
                <c:pt idx="401">
                  <c:v>6588.5714285714284</c:v>
                </c:pt>
                <c:pt idx="402">
                  <c:v>6570.1428571428569</c:v>
                </c:pt>
                <c:pt idx="403">
                  <c:v>6556.2857142857147</c:v>
                </c:pt>
                <c:pt idx="404">
                  <c:v>6529.2857142857147</c:v>
                </c:pt>
                <c:pt idx="405">
                  <c:v>6501.8571428571431</c:v>
                </c:pt>
                <c:pt idx="406">
                  <c:v>6442.2857142857147</c:v>
                </c:pt>
                <c:pt idx="407">
                  <c:v>6396.4285714285716</c:v>
                </c:pt>
                <c:pt idx="408">
                  <c:v>6371.8571428571431</c:v>
                </c:pt>
                <c:pt idx="409">
                  <c:v>6348.5714285714284</c:v>
                </c:pt>
                <c:pt idx="410">
                  <c:v>6314</c:v>
                </c:pt>
                <c:pt idx="411">
                  <c:v>6268.2857142857147</c:v>
                </c:pt>
                <c:pt idx="412">
                  <c:v>6237.7142857142853</c:v>
                </c:pt>
                <c:pt idx="413">
                  <c:v>6256.4285714285716</c:v>
                </c:pt>
                <c:pt idx="414">
                  <c:v>6270.8571428571431</c:v>
                </c:pt>
                <c:pt idx="415">
                  <c:v>6270.5714285714284</c:v>
                </c:pt>
                <c:pt idx="416">
                  <c:v>6253.8571428571431</c:v>
                </c:pt>
                <c:pt idx="417">
                  <c:v>6248.5714285714284</c:v>
                </c:pt>
                <c:pt idx="418">
                  <c:v>6266.4285714285716</c:v>
                </c:pt>
                <c:pt idx="419">
                  <c:v>6263.7142857142853</c:v>
                </c:pt>
                <c:pt idx="420">
                  <c:v>6229.7142857142853</c:v>
                </c:pt>
                <c:pt idx="421">
                  <c:v>6207.2857142857147</c:v>
                </c:pt>
                <c:pt idx="422">
                  <c:v>6198.8571428571431</c:v>
                </c:pt>
                <c:pt idx="423">
                  <c:v>6222.1428571428569</c:v>
                </c:pt>
                <c:pt idx="424">
                  <c:v>6229.8571428571431</c:v>
                </c:pt>
                <c:pt idx="425">
                  <c:v>6220</c:v>
                </c:pt>
                <c:pt idx="426">
                  <c:v>6213.2857142857147</c:v>
                </c:pt>
                <c:pt idx="427">
                  <c:v>6242.8571428571431</c:v>
                </c:pt>
                <c:pt idx="428">
                  <c:v>6274.5714285714284</c:v>
                </c:pt>
                <c:pt idx="429">
                  <c:v>6284</c:v>
                </c:pt>
                <c:pt idx="430">
                  <c:v>6278.1428571428569</c:v>
                </c:pt>
                <c:pt idx="431">
                  <c:v>6289.1428571428569</c:v>
                </c:pt>
                <c:pt idx="432">
                  <c:v>6322.1428571428569</c:v>
                </c:pt>
                <c:pt idx="433">
                  <c:v>6351.8571428571431</c:v>
                </c:pt>
                <c:pt idx="434">
                  <c:v>6328.7142857142853</c:v>
                </c:pt>
                <c:pt idx="435">
                  <c:v>6306.5714285714284</c:v>
                </c:pt>
                <c:pt idx="436">
                  <c:v>6307</c:v>
                </c:pt>
                <c:pt idx="437">
                  <c:v>6315.8571428571431</c:v>
                </c:pt>
                <c:pt idx="438">
                  <c:v>6306.2857142857147</c:v>
                </c:pt>
                <c:pt idx="439">
                  <c:v>6260.1428571428569</c:v>
                </c:pt>
                <c:pt idx="440">
                  <c:v>6233.8571428571431</c:v>
                </c:pt>
                <c:pt idx="441">
                  <c:v>6241</c:v>
                </c:pt>
                <c:pt idx="442">
                  <c:v>6245</c:v>
                </c:pt>
                <c:pt idx="443">
                  <c:v>6207.2857142857147</c:v>
                </c:pt>
                <c:pt idx="444">
                  <c:v>6161.5714285714284</c:v>
                </c:pt>
                <c:pt idx="445">
                  <c:v>6124</c:v>
                </c:pt>
                <c:pt idx="446">
                  <c:v>6122.4285714285716</c:v>
                </c:pt>
                <c:pt idx="447">
                  <c:v>6101.5714285714284</c:v>
                </c:pt>
                <c:pt idx="448">
                  <c:v>6063.8571428571431</c:v>
                </c:pt>
                <c:pt idx="449">
                  <c:v>6030.7142857142853</c:v>
                </c:pt>
                <c:pt idx="450">
                  <c:v>6041</c:v>
                </c:pt>
                <c:pt idx="451">
                  <c:v>6070.5714285714284</c:v>
                </c:pt>
                <c:pt idx="452">
                  <c:v>6097.7142857142853</c:v>
                </c:pt>
                <c:pt idx="453">
                  <c:v>6126.4285714285716</c:v>
                </c:pt>
                <c:pt idx="454">
                  <c:v>6173.1428571428569</c:v>
                </c:pt>
                <c:pt idx="455">
                  <c:v>6241</c:v>
                </c:pt>
                <c:pt idx="456">
                  <c:v>6312.7142857142853</c:v>
                </c:pt>
                <c:pt idx="457">
                  <c:v>6383.4285714285716</c:v>
                </c:pt>
                <c:pt idx="458">
                  <c:v>6426.2857142857147</c:v>
                </c:pt>
                <c:pt idx="459">
                  <c:v>6474.8571428571431</c:v>
                </c:pt>
                <c:pt idx="460">
                  <c:v>6524</c:v>
                </c:pt>
                <c:pt idx="461">
                  <c:v>6576</c:v>
                </c:pt>
                <c:pt idx="462">
                  <c:v>6620.5714285714284</c:v>
                </c:pt>
                <c:pt idx="463">
                  <c:v>6653.5714285714284</c:v>
                </c:pt>
                <c:pt idx="464">
                  <c:v>6674.7142857142853</c:v>
                </c:pt>
                <c:pt idx="465">
                  <c:v>6715.7142857142853</c:v>
                </c:pt>
                <c:pt idx="466">
                  <c:v>6758.5714285714284</c:v>
                </c:pt>
                <c:pt idx="467">
                  <c:v>6812.2857142857147</c:v>
                </c:pt>
                <c:pt idx="468">
                  <c:v>6825.8571428571431</c:v>
                </c:pt>
                <c:pt idx="469">
                  <c:v>6841.2857142857147</c:v>
                </c:pt>
                <c:pt idx="470">
                  <c:v>6867.1428571428569</c:v>
                </c:pt>
                <c:pt idx="471">
                  <c:v>6882.8571428571431</c:v>
                </c:pt>
                <c:pt idx="472">
                  <c:v>6884.7142857142853</c:v>
                </c:pt>
                <c:pt idx="473">
                  <c:v>6849.2857142857147</c:v>
                </c:pt>
                <c:pt idx="474">
                  <c:v>6791.8571428571431</c:v>
                </c:pt>
                <c:pt idx="475">
                  <c:v>6737.7142857142853</c:v>
                </c:pt>
                <c:pt idx="476">
                  <c:v>6669.1428571428569</c:v>
                </c:pt>
                <c:pt idx="477">
                  <c:v>6530.4285714285716</c:v>
                </c:pt>
                <c:pt idx="478">
                  <c:v>6384.4285714285716</c:v>
                </c:pt>
                <c:pt idx="479">
                  <c:v>6235.4285714285716</c:v>
                </c:pt>
                <c:pt idx="480">
                  <c:v>6099.7142857142853</c:v>
                </c:pt>
                <c:pt idx="481">
                  <c:v>5953.8571428571431</c:v>
                </c:pt>
                <c:pt idx="482">
                  <c:v>5771.5714285714284</c:v>
                </c:pt>
                <c:pt idx="483">
                  <c:v>5595</c:v>
                </c:pt>
                <c:pt idx="484">
                  <c:v>5470.1428571428569</c:v>
                </c:pt>
                <c:pt idx="485">
                  <c:v>5361</c:v>
                </c:pt>
                <c:pt idx="486">
                  <c:v>5259.7142857142853</c:v>
                </c:pt>
                <c:pt idx="487">
                  <c:v>5130.4285714285716</c:v>
                </c:pt>
                <c:pt idx="488">
                  <c:v>5011.4285714285716</c:v>
                </c:pt>
                <c:pt idx="489">
                  <c:v>4953.8571428571431</c:v>
                </c:pt>
                <c:pt idx="490">
                  <c:v>4909.2857142857147</c:v>
                </c:pt>
                <c:pt idx="491">
                  <c:v>4854.2857142857147</c:v>
                </c:pt>
                <c:pt idx="492">
                  <c:v>4743.8571428571431</c:v>
                </c:pt>
                <c:pt idx="493">
                  <c:v>4620.5714285714284</c:v>
                </c:pt>
                <c:pt idx="494">
                  <c:v>4529.8571428571431</c:v>
                </c:pt>
                <c:pt idx="495">
                  <c:v>4434.1428571428569</c:v>
                </c:pt>
                <c:pt idx="496">
                  <c:v>4316</c:v>
                </c:pt>
                <c:pt idx="497">
                  <c:v>4129</c:v>
                </c:pt>
                <c:pt idx="498">
                  <c:v>3950.7142857142858</c:v>
                </c:pt>
                <c:pt idx="499">
                  <c:v>3825.1428571428573</c:v>
                </c:pt>
                <c:pt idx="500">
                  <c:v>3698.2857142857142</c:v>
                </c:pt>
                <c:pt idx="501">
                  <c:v>3565.1428571428573</c:v>
                </c:pt>
                <c:pt idx="502">
                  <c:v>3394.4285714285716</c:v>
                </c:pt>
                <c:pt idx="503">
                  <c:v>3235.4285714285716</c:v>
                </c:pt>
                <c:pt idx="504">
                  <c:v>3137.7142857142858</c:v>
                </c:pt>
                <c:pt idx="505">
                  <c:v>3041.1428571428573</c:v>
                </c:pt>
                <c:pt idx="506">
                  <c:v>2941.1428571428573</c:v>
                </c:pt>
                <c:pt idx="507">
                  <c:v>2830.1428571428573</c:v>
                </c:pt>
                <c:pt idx="508">
                  <c:v>2736.1428571428573</c:v>
                </c:pt>
                <c:pt idx="509">
                  <c:v>2686.7142857142858</c:v>
                </c:pt>
                <c:pt idx="510">
                  <c:v>2642.8571428571427</c:v>
                </c:pt>
                <c:pt idx="511">
                  <c:v>2588.2857142857142</c:v>
                </c:pt>
                <c:pt idx="512">
                  <c:v>2540.1428571428573</c:v>
                </c:pt>
                <c:pt idx="513">
                  <c:v>2498.2857142857142</c:v>
                </c:pt>
                <c:pt idx="514">
                  <c:v>2481.5714285714284</c:v>
                </c:pt>
                <c:pt idx="515">
                  <c:v>2460.2857142857142</c:v>
                </c:pt>
                <c:pt idx="516">
                  <c:v>2428.2857142857142</c:v>
                </c:pt>
                <c:pt idx="517">
                  <c:v>2395.5714285714284</c:v>
                </c:pt>
                <c:pt idx="518">
                  <c:v>2375.2857142857142</c:v>
                </c:pt>
                <c:pt idx="519">
                  <c:v>2350</c:v>
                </c:pt>
                <c:pt idx="520">
                  <c:v>2325</c:v>
                </c:pt>
                <c:pt idx="521">
                  <c:v>2286.4285714285716</c:v>
                </c:pt>
                <c:pt idx="522">
                  <c:v>2250.2857142857142</c:v>
                </c:pt>
                <c:pt idx="523">
                  <c:v>2222.5714285714284</c:v>
                </c:pt>
                <c:pt idx="524">
                  <c:v>2196.1428571428573</c:v>
                </c:pt>
                <c:pt idx="525">
                  <c:v>2173.1428571428573</c:v>
                </c:pt>
                <c:pt idx="526">
                  <c:v>2154.2857142857142</c:v>
                </c:pt>
                <c:pt idx="527">
                  <c:v>2137.1428571428573</c:v>
                </c:pt>
                <c:pt idx="528">
                  <c:v>2134.4285714285716</c:v>
                </c:pt>
                <c:pt idx="529">
                  <c:v>2132.7142857142858</c:v>
                </c:pt>
                <c:pt idx="530">
                  <c:v>2135.1428571428573</c:v>
                </c:pt>
                <c:pt idx="531">
                  <c:v>2140</c:v>
                </c:pt>
                <c:pt idx="532">
                  <c:v>2142.2857142857142</c:v>
                </c:pt>
                <c:pt idx="533">
                  <c:v>2147.7142857142858</c:v>
                </c:pt>
                <c:pt idx="534">
                  <c:v>2155.5714285714284</c:v>
                </c:pt>
                <c:pt idx="535">
                  <c:v>2160.5714285714284</c:v>
                </c:pt>
                <c:pt idx="536">
                  <c:v>2170.1428571428573</c:v>
                </c:pt>
                <c:pt idx="537">
                  <c:v>2180.7142857142858</c:v>
                </c:pt>
                <c:pt idx="538">
                  <c:v>2189.5714285714284</c:v>
                </c:pt>
                <c:pt idx="539">
                  <c:v>2202</c:v>
                </c:pt>
                <c:pt idx="540">
                  <c:v>2214.1428571428573</c:v>
                </c:pt>
                <c:pt idx="541">
                  <c:v>2223.8571428571427</c:v>
                </c:pt>
                <c:pt idx="542">
                  <c:v>2235.4285714285716</c:v>
                </c:pt>
                <c:pt idx="543">
                  <c:v>2245.2857142857142</c:v>
                </c:pt>
                <c:pt idx="544">
                  <c:v>2252.7142857142858</c:v>
                </c:pt>
                <c:pt idx="545">
                  <c:v>2261.7142857142858</c:v>
                </c:pt>
                <c:pt idx="546">
                  <c:v>2268.8571428571427</c:v>
                </c:pt>
                <c:pt idx="547">
                  <c:v>2277.4285714285716</c:v>
                </c:pt>
                <c:pt idx="548">
                  <c:v>2286</c:v>
                </c:pt>
                <c:pt idx="549">
                  <c:v>2292.5714285714284</c:v>
                </c:pt>
                <c:pt idx="550">
                  <c:v>2298.8571428571427</c:v>
                </c:pt>
                <c:pt idx="551">
                  <c:v>2305.1428571428573</c:v>
                </c:pt>
                <c:pt idx="552">
                  <c:v>2309.4285714285716</c:v>
                </c:pt>
                <c:pt idx="553">
                  <c:v>2315.7142857142858</c:v>
                </c:pt>
                <c:pt idx="554">
                  <c:v>2317.8571428571427</c:v>
                </c:pt>
                <c:pt idx="555">
                  <c:v>2320</c:v>
                </c:pt>
                <c:pt idx="556">
                  <c:v>2319.7142857142858</c:v>
                </c:pt>
                <c:pt idx="557">
                  <c:v>2322.5714285714284</c:v>
                </c:pt>
                <c:pt idx="558">
                  <c:v>2325.2857142857142</c:v>
                </c:pt>
                <c:pt idx="559">
                  <c:v>2326.5714285714284</c:v>
                </c:pt>
                <c:pt idx="560">
                  <c:v>2328</c:v>
                </c:pt>
                <c:pt idx="561">
                  <c:v>2330</c:v>
                </c:pt>
                <c:pt idx="562">
                  <c:v>2336.1428571428573</c:v>
                </c:pt>
                <c:pt idx="563">
                  <c:v>2346.4285714285716</c:v>
                </c:pt>
                <c:pt idx="564">
                  <c:v>2350.8571428571427</c:v>
                </c:pt>
                <c:pt idx="565">
                  <c:v>2355.4285714285716</c:v>
                </c:pt>
                <c:pt idx="566">
                  <c:v>2363.4285714285716</c:v>
                </c:pt>
                <c:pt idx="567">
                  <c:v>2372.2857142857142</c:v>
                </c:pt>
                <c:pt idx="568">
                  <c:v>2384.7142857142858</c:v>
                </c:pt>
                <c:pt idx="569">
                  <c:v>2392.8571428571427</c:v>
                </c:pt>
                <c:pt idx="570">
                  <c:v>2399.8571428571427</c:v>
                </c:pt>
                <c:pt idx="571">
                  <c:v>2409.7142857142858</c:v>
                </c:pt>
                <c:pt idx="572">
                  <c:v>2424</c:v>
                </c:pt>
                <c:pt idx="573">
                  <c:v>2438.1428571428573</c:v>
                </c:pt>
                <c:pt idx="574">
                  <c:v>2455.8571428571427</c:v>
                </c:pt>
                <c:pt idx="575">
                  <c:v>2467.8571428571427</c:v>
                </c:pt>
                <c:pt idx="576">
                  <c:v>2482.8571428571427</c:v>
                </c:pt>
                <c:pt idx="577">
                  <c:v>2499.1428571428573</c:v>
                </c:pt>
                <c:pt idx="578">
                  <c:v>2513.8571428571427</c:v>
                </c:pt>
                <c:pt idx="579">
                  <c:v>2526.2857142857142</c:v>
                </c:pt>
                <c:pt idx="580">
                  <c:v>2533.8571428571427</c:v>
                </c:pt>
                <c:pt idx="581">
                  <c:v>2535.7142857142858</c:v>
                </c:pt>
                <c:pt idx="582">
                  <c:v>2539</c:v>
                </c:pt>
                <c:pt idx="583">
                  <c:v>2539.1428571428573</c:v>
                </c:pt>
                <c:pt idx="584">
                  <c:v>2537</c:v>
                </c:pt>
                <c:pt idx="585">
                  <c:v>2536</c:v>
                </c:pt>
                <c:pt idx="586">
                  <c:v>2534.1428571428573</c:v>
                </c:pt>
                <c:pt idx="587">
                  <c:v>2535.5714285714284</c:v>
                </c:pt>
                <c:pt idx="588">
                  <c:v>2532.4285714285716</c:v>
                </c:pt>
                <c:pt idx="589">
                  <c:v>2530.8571428571427</c:v>
                </c:pt>
                <c:pt idx="590">
                  <c:v>2528.1428571428573</c:v>
                </c:pt>
                <c:pt idx="591">
                  <c:v>2526.1428571428573</c:v>
                </c:pt>
                <c:pt idx="592">
                  <c:v>2518.2857142857142</c:v>
                </c:pt>
                <c:pt idx="593">
                  <c:v>2506.4285714285716</c:v>
                </c:pt>
                <c:pt idx="594">
                  <c:v>2489.7142857142858</c:v>
                </c:pt>
                <c:pt idx="595">
                  <c:v>2476.7142857142858</c:v>
                </c:pt>
                <c:pt idx="596">
                  <c:v>2460.1428571428573</c:v>
                </c:pt>
                <c:pt idx="597">
                  <c:v>2443.4285714285716</c:v>
                </c:pt>
                <c:pt idx="598">
                  <c:v>2420.5714285714284</c:v>
                </c:pt>
                <c:pt idx="599">
                  <c:v>2399.5714285714284</c:v>
                </c:pt>
                <c:pt idx="600">
                  <c:v>2380.4285714285716</c:v>
                </c:pt>
                <c:pt idx="601">
                  <c:v>2361.7142857142858</c:v>
                </c:pt>
                <c:pt idx="602">
                  <c:v>2338.1428571428573</c:v>
                </c:pt>
                <c:pt idx="603">
                  <c:v>2311.2857142857142</c:v>
                </c:pt>
                <c:pt idx="604">
                  <c:v>2282.2857142857142</c:v>
                </c:pt>
                <c:pt idx="605">
                  <c:v>2258</c:v>
                </c:pt>
                <c:pt idx="606">
                  <c:v>2234.8571428571427</c:v>
                </c:pt>
                <c:pt idx="607">
                  <c:v>2213</c:v>
                </c:pt>
                <c:pt idx="608">
                  <c:v>2190.1428571428573</c:v>
                </c:pt>
                <c:pt idx="609">
                  <c:v>2171</c:v>
                </c:pt>
                <c:pt idx="610">
                  <c:v>2158.8571428571427</c:v>
                </c:pt>
                <c:pt idx="611">
                  <c:v>2148</c:v>
                </c:pt>
                <c:pt idx="612">
                  <c:v>2136.7142857142858</c:v>
                </c:pt>
                <c:pt idx="613">
                  <c:v>2124.7142857142858</c:v>
                </c:pt>
                <c:pt idx="614">
                  <c:v>2112</c:v>
                </c:pt>
                <c:pt idx="615">
                  <c:v>2103.2857142857142</c:v>
                </c:pt>
                <c:pt idx="616">
                  <c:v>2094.2857142857142</c:v>
                </c:pt>
                <c:pt idx="617">
                  <c:v>2086.1428571428573</c:v>
                </c:pt>
                <c:pt idx="618">
                  <c:v>2078.7142857142858</c:v>
                </c:pt>
                <c:pt idx="619">
                  <c:v>2073.4285714285716</c:v>
                </c:pt>
                <c:pt idx="620">
                  <c:v>2068.2857142857142</c:v>
                </c:pt>
                <c:pt idx="621">
                  <c:v>2063.8571428571427</c:v>
                </c:pt>
                <c:pt idx="622">
                  <c:v>2056.1428571428573</c:v>
                </c:pt>
                <c:pt idx="623">
                  <c:v>2049.7142857142858</c:v>
                </c:pt>
                <c:pt idx="624">
                  <c:v>2044.2857142857142</c:v>
                </c:pt>
                <c:pt idx="625">
                  <c:v>2038.1428571428571</c:v>
                </c:pt>
                <c:pt idx="626">
                  <c:v>2032.1428571428571</c:v>
                </c:pt>
                <c:pt idx="627">
                  <c:v>2025.2857142857142</c:v>
                </c:pt>
                <c:pt idx="628">
                  <c:v>2019</c:v>
                </c:pt>
                <c:pt idx="629">
                  <c:v>2017.7142857142858</c:v>
                </c:pt>
                <c:pt idx="630">
                  <c:v>2017.5714285714287</c:v>
                </c:pt>
                <c:pt idx="631">
                  <c:v>2015.2857142857142</c:v>
                </c:pt>
                <c:pt idx="632">
                  <c:v>2012.8571428571429</c:v>
                </c:pt>
                <c:pt idx="633">
                  <c:v>2011.2857142857142</c:v>
                </c:pt>
                <c:pt idx="634">
                  <c:v>2012</c:v>
                </c:pt>
                <c:pt idx="635">
                  <c:v>2012.2857142857142</c:v>
                </c:pt>
                <c:pt idx="636">
                  <c:v>2012.5714285714287</c:v>
                </c:pt>
                <c:pt idx="637">
                  <c:v>2015.1428571428571</c:v>
                </c:pt>
                <c:pt idx="638">
                  <c:v>2020</c:v>
                </c:pt>
                <c:pt idx="639">
                  <c:v>2026.5714285714287</c:v>
                </c:pt>
                <c:pt idx="640">
                  <c:v>2033</c:v>
                </c:pt>
                <c:pt idx="641">
                  <c:v>2038</c:v>
                </c:pt>
                <c:pt idx="642">
                  <c:v>2044.1428571428571</c:v>
                </c:pt>
                <c:pt idx="643">
                  <c:v>2051</c:v>
                </c:pt>
                <c:pt idx="644">
                  <c:v>2055.7142857142858</c:v>
                </c:pt>
                <c:pt idx="645">
                  <c:v>2060</c:v>
                </c:pt>
                <c:pt idx="646">
                  <c:v>2070.5714285714284</c:v>
                </c:pt>
                <c:pt idx="647">
                  <c:v>2081.7142857142858</c:v>
                </c:pt>
                <c:pt idx="648">
                  <c:v>2092.8571428571427</c:v>
                </c:pt>
                <c:pt idx="649">
                  <c:v>2104.8571428571427</c:v>
                </c:pt>
                <c:pt idx="650">
                  <c:v>2116.7142857142858</c:v>
                </c:pt>
                <c:pt idx="651">
                  <c:v>2130.5714285714284</c:v>
                </c:pt>
                <c:pt idx="652">
                  <c:v>2144.2857142857142</c:v>
                </c:pt>
                <c:pt idx="653">
                  <c:v>2152.7142857142858</c:v>
                </c:pt>
                <c:pt idx="654">
                  <c:v>2158.8571428571427</c:v>
                </c:pt>
                <c:pt idx="655">
                  <c:v>2165.1428571428573</c:v>
                </c:pt>
                <c:pt idx="656">
                  <c:v>2171</c:v>
                </c:pt>
                <c:pt idx="657">
                  <c:v>2176</c:v>
                </c:pt>
                <c:pt idx="658">
                  <c:v>2179.1428571428573</c:v>
                </c:pt>
                <c:pt idx="659">
                  <c:v>2181.2857142857142</c:v>
                </c:pt>
                <c:pt idx="660">
                  <c:v>2186.1428571428573</c:v>
                </c:pt>
                <c:pt idx="661">
                  <c:v>2190.7142857142858</c:v>
                </c:pt>
                <c:pt idx="662">
                  <c:v>2198.2857142857142</c:v>
                </c:pt>
                <c:pt idx="663">
                  <c:v>2206.7142857142858</c:v>
                </c:pt>
                <c:pt idx="664">
                  <c:v>2215</c:v>
                </c:pt>
                <c:pt idx="665">
                  <c:v>2223</c:v>
                </c:pt>
                <c:pt idx="666">
                  <c:v>2230.2857142857142</c:v>
                </c:pt>
                <c:pt idx="667">
                  <c:v>2237.4285714285716</c:v>
                </c:pt>
                <c:pt idx="668">
                  <c:v>2244</c:v>
                </c:pt>
                <c:pt idx="669">
                  <c:v>2250.5714285714284</c:v>
                </c:pt>
                <c:pt idx="670">
                  <c:v>2255.8571428571427</c:v>
                </c:pt>
                <c:pt idx="671">
                  <c:v>2261.7142857142858</c:v>
                </c:pt>
                <c:pt idx="672">
                  <c:v>2267.8571428571427</c:v>
                </c:pt>
                <c:pt idx="673">
                  <c:v>2275.8571428571427</c:v>
                </c:pt>
                <c:pt idx="674">
                  <c:v>2279.8571428571427</c:v>
                </c:pt>
                <c:pt idx="675">
                  <c:v>2288</c:v>
                </c:pt>
                <c:pt idx="676">
                  <c:v>2294.7142857142858</c:v>
                </c:pt>
                <c:pt idx="677">
                  <c:v>2300</c:v>
                </c:pt>
                <c:pt idx="678">
                  <c:v>2303.2857142857142</c:v>
                </c:pt>
                <c:pt idx="679">
                  <c:v>2305.2857142857142</c:v>
                </c:pt>
                <c:pt idx="680">
                  <c:v>2304.5714285714284</c:v>
                </c:pt>
                <c:pt idx="681">
                  <c:v>2305.1428571428573</c:v>
                </c:pt>
                <c:pt idx="682">
                  <c:v>2304</c:v>
                </c:pt>
                <c:pt idx="683">
                  <c:v>2304</c:v>
                </c:pt>
                <c:pt idx="684">
                  <c:v>2302.4285714285716</c:v>
                </c:pt>
                <c:pt idx="685">
                  <c:v>2305.5714285714284</c:v>
                </c:pt>
                <c:pt idx="686">
                  <c:v>2309.7142857142858</c:v>
                </c:pt>
                <c:pt idx="687">
                  <c:v>2317.1428571428573</c:v>
                </c:pt>
                <c:pt idx="688">
                  <c:v>2323.7142857142858</c:v>
                </c:pt>
                <c:pt idx="689">
                  <c:v>2332.1428571428573</c:v>
                </c:pt>
                <c:pt idx="690">
                  <c:v>2341.4285714285716</c:v>
                </c:pt>
                <c:pt idx="691">
                  <c:v>2353.7142857142858</c:v>
                </c:pt>
                <c:pt idx="692">
                  <c:v>2360.1428571428573</c:v>
                </c:pt>
                <c:pt idx="693">
                  <c:v>2369.2857142857142</c:v>
                </c:pt>
                <c:pt idx="694">
                  <c:v>2379.4285714285716</c:v>
                </c:pt>
                <c:pt idx="695">
                  <c:v>2389.1428571428573</c:v>
                </c:pt>
                <c:pt idx="696">
                  <c:v>2397.7142857142858</c:v>
                </c:pt>
                <c:pt idx="697">
                  <c:v>2402.7142857142858</c:v>
                </c:pt>
                <c:pt idx="698">
                  <c:v>2409.8571428571427</c:v>
                </c:pt>
                <c:pt idx="699">
                  <c:v>2419</c:v>
                </c:pt>
                <c:pt idx="700">
                  <c:v>2425.2857142857142</c:v>
                </c:pt>
                <c:pt idx="701">
                  <c:v>2429.5714285714284</c:v>
                </c:pt>
                <c:pt idx="702">
                  <c:v>2436.1428571428573</c:v>
                </c:pt>
                <c:pt idx="703">
                  <c:v>2440.5714285714284</c:v>
                </c:pt>
                <c:pt idx="704">
                  <c:v>2448.2857142857142</c:v>
                </c:pt>
                <c:pt idx="705">
                  <c:v>2454</c:v>
                </c:pt>
                <c:pt idx="706">
                  <c:v>2462.1428571428573</c:v>
                </c:pt>
                <c:pt idx="707">
                  <c:v>2468.2857142857142</c:v>
                </c:pt>
                <c:pt idx="708">
                  <c:v>2474.8571428571427</c:v>
                </c:pt>
                <c:pt idx="709">
                  <c:v>2482.7142857142858</c:v>
                </c:pt>
                <c:pt idx="710">
                  <c:v>2492.5714285714284</c:v>
                </c:pt>
                <c:pt idx="711">
                  <c:v>2499</c:v>
                </c:pt>
                <c:pt idx="712">
                  <c:v>2506</c:v>
                </c:pt>
                <c:pt idx="713">
                  <c:v>2507.2857142857142</c:v>
                </c:pt>
                <c:pt idx="714">
                  <c:v>2511.1666666666665</c:v>
                </c:pt>
                <c:pt idx="715">
                  <c:v>2514</c:v>
                </c:pt>
                <c:pt idx="716">
                  <c:v>2514.5</c:v>
                </c:pt>
                <c:pt idx="717">
                  <c:v>2512</c:v>
                </c:pt>
                <c:pt idx="718">
                  <c:v>2512</c:v>
                </c:pt>
                <c:pt idx="719">
                  <c:v>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A-45BB-95F3-79B0D3421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749295"/>
        <c:axId val="1999753871"/>
      </c:lineChart>
      <c:valAx>
        <c:axId val="1999753871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999749295"/>
        <c:crosses val="autoZero"/>
        <c:crossBetween val="between"/>
      </c:valAx>
      <c:catAx>
        <c:axId val="1999749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999753871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525780</xdr:colOff>
      <xdr:row>18</xdr:row>
      <xdr:rowOff>140973</xdr:rowOff>
    </xdr:from>
    <xdr:ext cx="6873243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4213C4-A0CB-40F1-A54C-97533D7FD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220983</xdr:colOff>
      <xdr:row>2</xdr:row>
      <xdr:rowOff>491490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C91EB-D0FC-422B-B40A-DB1583610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419096</xdr:colOff>
      <xdr:row>18</xdr:row>
      <xdr:rowOff>140973</xdr:rowOff>
    </xdr:from>
    <xdr:ext cx="6332220" cy="369188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B1166-9A04-4E9D-8551-FBF1D0C37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411480</xdr:colOff>
      <xdr:row>41</xdr:row>
      <xdr:rowOff>129543</xdr:rowOff>
    </xdr:from>
    <xdr:ext cx="6271256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EB064F-8A53-4DA7-84D9-74E583605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18">
    <queryTableFields count="17">
      <queryTableField id="1" name="Date" tableColumnId="1"/>
      <queryTableField id="2" name="Month" tableColumnId="2"/>
      <queryTableField id="3" name="Month-Year" tableColumnId="3"/>
      <queryTableField id="4" name="Children apprehended and placed in CBP custody*" tableColumnId="4"/>
      <queryTableField id="5" name="Children in CBP custody" tableColumnId="5"/>
      <queryTableField id="6" name="Children transferred out of CBP custody" tableColumnId="6"/>
      <queryTableField id="7" name="Children in HHS Care" tableColumnId="7"/>
      <queryTableField id="8" name="Children discharged from HHS Care" tableColumnId="8"/>
      <queryTableField id="9" name="Total System load" tableColumnId="9"/>
      <queryTableField id="10" name="Net Intake Pressure" tableColumnId="10"/>
      <queryTableField id="11" name="Care load Growth Rate" tableColumnId="11"/>
      <queryTableField id="12" name="Transfer Validation" tableColumnId="12"/>
      <queryTableField id="13" name="Discharge Validation" tableColumnId="13"/>
      <queryTableField id="14" name="Backlog Trend Indicator" tableColumnId="14"/>
      <queryTableField id="15" name="Discharge Offset ratio" tableColumnId="15"/>
      <queryTableField id="16" name="7 Days Rolling Avg." tableColumnId="16"/>
      <queryTableField id="17" name="Volatality Metrics (Standard Diviation)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HHS_Unaccompanied_Alien_Children_Program" displayName="HHS_Unaccompanied_Alien_Children_Program" ref="A1:Q1171" tableType="queryTable" totalsRowShown="0">
  <autoFilter ref="A1:Q1171"/>
  <sortState xmlns:xlrd2="http://schemas.microsoft.com/office/spreadsheetml/2017/richdata2" ref="A3:Q1171">
    <sortCondition ref="A2:A1171"/>
  </sortState>
  <tableColumns count="17">
    <tableColumn id="1" uniqueName="1" name="Date" queryTableFieldId="1"/>
    <tableColumn id="2" uniqueName="2" name="Month" queryTableFieldId="2"/>
    <tableColumn id="3" uniqueName="3" name="Month-Year" queryTableFieldId="3"/>
    <tableColumn id="4" uniqueName="4" name="Children apprehended and placed in CBP custody*" queryTableFieldId="4"/>
    <tableColumn id="5" uniqueName="5" name="Children in CBP custody" queryTableFieldId="5"/>
    <tableColumn id="6" uniqueName="6" name="Children transferred out of CBP custody" queryTableFieldId="6"/>
    <tableColumn id="7" uniqueName="7" name="Children in HHS Care" queryTableFieldId="7"/>
    <tableColumn id="8" uniqueName="8" name="Children discharged from HHS Care" queryTableFieldId="8"/>
    <tableColumn id="9" uniqueName="9" name="Total System load" queryTableFieldId="9"/>
    <tableColumn id="10" uniqueName="10" name="Net Intake Pressure" queryTableFieldId="10"/>
    <tableColumn id="11" uniqueName="11" name="Care load Growth Rate" queryTableFieldId="11"/>
    <tableColumn id="12" uniqueName="12" name="Transfer Validation" queryTableFieldId="12"/>
    <tableColumn id="13" uniqueName="13" name="Discharge Validation" queryTableFieldId="13"/>
    <tableColumn id="14" uniqueName="14" name="Backlog Trend Indicator" queryTableFieldId="14"/>
    <tableColumn id="15" uniqueName="15" name="Discharge Offset ratio" queryTableFieldId="15"/>
    <tableColumn id="16" uniqueName="16" name="7 Days Rolling Avg." queryTableFieldId="16"/>
    <tableColumn id="17" uniqueName="17" name="Volatality Metrics (Standard Diviation)" queryTableField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0"/>
  <sheetViews>
    <sheetView workbookViewId="0"/>
  </sheetViews>
  <sheetFormatPr defaultRowHeight="14.4" x14ac:dyDescent="0.3"/>
  <cols>
    <col min="1" max="1" width="13" bestFit="1" customWidth="1"/>
    <col min="2" max="2" width="25" bestFit="1" customWidth="1"/>
    <col min="3" max="5" width="8.88671875" customWidth="1"/>
    <col min="6" max="6" width="42.44140625" customWidth="1"/>
    <col min="7" max="7" width="8.88671875" customWidth="1"/>
  </cols>
  <sheetData>
    <row r="3" spans="1:6" x14ac:dyDescent="0.3">
      <c r="A3" s="1" t="s">
        <v>0</v>
      </c>
      <c r="B3" s="2" t="s">
        <v>1</v>
      </c>
    </row>
    <row r="4" spans="1:6" x14ac:dyDescent="0.3">
      <c r="A4" s="1" t="s">
        <v>2</v>
      </c>
      <c r="B4" s="2">
        <v>7413.5</v>
      </c>
    </row>
    <row r="5" spans="1:6" x14ac:dyDescent="0.3">
      <c r="A5" s="3" t="s">
        <v>3</v>
      </c>
      <c r="B5" s="4">
        <v>7967.105263157895</v>
      </c>
    </row>
    <row r="6" spans="1:6" x14ac:dyDescent="0.3">
      <c r="A6" s="3" t="s">
        <v>4</v>
      </c>
      <c r="B6" s="4">
        <v>8190.4736842105267</v>
      </c>
    </row>
    <row r="7" spans="1:6" x14ac:dyDescent="0.3">
      <c r="A7" s="3" t="s">
        <v>5</v>
      </c>
      <c r="B7" s="4">
        <v>8092.8571428571431</v>
      </c>
    </row>
    <row r="8" spans="1:6" x14ac:dyDescent="0.3">
      <c r="A8" s="3" t="s">
        <v>6</v>
      </c>
      <c r="B8" s="4">
        <v>8404.0909090909099</v>
      </c>
    </row>
    <row r="9" spans="1:6" x14ac:dyDescent="0.3">
      <c r="A9" s="3" t="s">
        <v>7</v>
      </c>
      <c r="B9" s="4">
        <v>6282.1</v>
      </c>
    </row>
    <row r="10" spans="1:6" x14ac:dyDescent="0.3">
      <c r="A10" s="3" t="s">
        <v>8</v>
      </c>
      <c r="B10" s="4">
        <v>7073.3809523809523</v>
      </c>
    </row>
    <row r="11" spans="1:6" x14ac:dyDescent="0.3">
      <c r="A11" s="3" t="s">
        <v>9</v>
      </c>
      <c r="B11" s="4">
        <v>9585.1</v>
      </c>
    </row>
    <row r="12" spans="1:6" x14ac:dyDescent="0.3">
      <c r="A12" s="3" t="s">
        <v>10</v>
      </c>
      <c r="B12" s="4">
        <v>10992.368421052632</v>
      </c>
    </row>
    <row r="13" spans="1:6" x14ac:dyDescent="0.3">
      <c r="A13" s="3" t="s">
        <v>11</v>
      </c>
      <c r="B13" s="4">
        <v>10308.227272727272</v>
      </c>
    </row>
    <row r="14" spans="1:6" x14ac:dyDescent="0.3">
      <c r="A14" s="3" t="s">
        <v>12</v>
      </c>
      <c r="B14" s="4">
        <v>9909.6</v>
      </c>
    </row>
    <row r="15" spans="1:6" x14ac:dyDescent="0.3">
      <c r="A15" s="3" t="s">
        <v>13</v>
      </c>
      <c r="B15" s="4">
        <v>11255.263157894737</v>
      </c>
    </row>
    <row r="16" spans="1:6" ht="57.6" x14ac:dyDescent="0.3">
      <c r="A16" s="3" t="s">
        <v>14</v>
      </c>
      <c r="B16" s="4">
        <v>9021.636363636364</v>
      </c>
      <c r="F16" s="5" t="s">
        <v>15</v>
      </c>
    </row>
    <row r="17" spans="1:2" x14ac:dyDescent="0.3">
      <c r="A17" s="3" t="s">
        <v>16</v>
      </c>
      <c r="B17" s="4">
        <v>8766.7999999999993</v>
      </c>
    </row>
    <row r="18" spans="1:2" x14ac:dyDescent="0.3">
      <c r="A18" s="3" t="s">
        <v>17</v>
      </c>
      <c r="B18" s="4">
        <v>8703.8571428571431</v>
      </c>
    </row>
    <row r="19" spans="1:2" x14ac:dyDescent="0.3">
      <c r="A19" s="3" t="s">
        <v>18</v>
      </c>
      <c r="B19" s="4">
        <v>7336.318181818182</v>
      </c>
    </row>
    <row r="20" spans="1:2" x14ac:dyDescent="0.3">
      <c r="A20" s="3" t="s">
        <v>19</v>
      </c>
      <c r="B20" s="4">
        <v>7836.0476190476193</v>
      </c>
    </row>
    <row r="21" spans="1:2" x14ac:dyDescent="0.3">
      <c r="A21" s="3" t="s">
        <v>20</v>
      </c>
      <c r="B21" s="4">
        <v>7691.4761904761908</v>
      </c>
    </row>
    <row r="22" spans="1:2" x14ac:dyDescent="0.3">
      <c r="A22" s="3" t="s">
        <v>21</v>
      </c>
      <c r="B22" s="4">
        <v>6498.7619047619046</v>
      </c>
    </row>
    <row r="23" spans="1:2" x14ac:dyDescent="0.3">
      <c r="A23" s="3" t="s">
        <v>22</v>
      </c>
      <c r="B23" s="4">
        <v>6258.7368421052633</v>
      </c>
    </row>
    <row r="24" spans="1:2" x14ac:dyDescent="0.3">
      <c r="A24" s="3" t="s">
        <v>23</v>
      </c>
      <c r="B24" s="4">
        <v>6452.636363636364</v>
      </c>
    </row>
    <row r="25" spans="1:2" x14ac:dyDescent="0.3">
      <c r="A25" s="3" t="s">
        <v>24</v>
      </c>
      <c r="B25" s="4">
        <v>6276.2857142857147</v>
      </c>
    </row>
    <row r="26" spans="1:2" x14ac:dyDescent="0.3">
      <c r="A26" s="3" t="s">
        <v>25</v>
      </c>
      <c r="B26" s="4">
        <v>6151.4210526315792</v>
      </c>
    </row>
    <row r="27" spans="1:2" x14ac:dyDescent="0.3">
      <c r="A27" s="3" t="s">
        <v>26</v>
      </c>
      <c r="B27" s="4">
        <v>6690.409090909091</v>
      </c>
    </row>
    <row r="28" spans="1:2" x14ac:dyDescent="0.3">
      <c r="A28" s="3" t="s">
        <v>27</v>
      </c>
      <c r="B28" s="4">
        <v>5080.045454545455</v>
      </c>
    </row>
    <row r="29" spans="1:2" x14ac:dyDescent="0.3">
      <c r="A29" s="3" t="s">
        <v>28</v>
      </c>
      <c r="B29" s="4">
        <v>2804.2105263157896</v>
      </c>
    </row>
    <row r="30" spans="1:2" x14ac:dyDescent="0.3">
      <c r="A30" s="3" t="s">
        <v>29</v>
      </c>
      <c r="B30" s="4">
        <v>2185.909090909091</v>
      </c>
    </row>
    <row r="31" spans="1:2" x14ac:dyDescent="0.3">
      <c r="A31" s="3" t="s">
        <v>30</v>
      </c>
      <c r="B31" s="4">
        <v>2298</v>
      </c>
    </row>
    <row r="32" spans="1:2" x14ac:dyDescent="0.3">
      <c r="A32" s="3" t="s">
        <v>31</v>
      </c>
      <c r="B32" s="4">
        <v>2439.7777777777778</v>
      </c>
    </row>
    <row r="33" spans="1:2" x14ac:dyDescent="0.3">
      <c r="A33" s="3" t="s">
        <v>32</v>
      </c>
      <c r="B33" s="4">
        <v>2511.4705882352941</v>
      </c>
    </row>
    <row r="34" spans="1:2" x14ac:dyDescent="0.3">
      <c r="A34" s="3" t="s">
        <v>33</v>
      </c>
      <c r="B34" s="4">
        <v>2201.1428571428573</v>
      </c>
    </row>
    <row r="35" spans="1:2" x14ac:dyDescent="0.3">
      <c r="A35" s="3" t="s">
        <v>34</v>
      </c>
      <c r="B35" s="4">
        <v>2026.9</v>
      </c>
    </row>
    <row r="36" spans="1:2" x14ac:dyDescent="0.3">
      <c r="A36" s="3" t="s">
        <v>35</v>
      </c>
      <c r="B36" s="4">
        <v>2118.0454545454545</v>
      </c>
    </row>
    <row r="37" spans="1:2" x14ac:dyDescent="0.3">
      <c r="A37" s="3" t="s">
        <v>36</v>
      </c>
      <c r="B37" s="4">
        <v>2265.3809523809523</v>
      </c>
    </row>
    <row r="38" spans="1:2" x14ac:dyDescent="0.3">
      <c r="A38" s="3" t="s">
        <v>37</v>
      </c>
      <c r="B38" s="4">
        <v>2360.6842105263158</v>
      </c>
    </row>
    <row r="39" spans="1:2" x14ac:dyDescent="0.3">
      <c r="A39" s="3" t="s">
        <v>38</v>
      </c>
      <c r="B39" s="4">
        <v>2481.4666666666667</v>
      </c>
    </row>
    <row r="40" spans="1:2" x14ac:dyDescent="0.3">
      <c r="A40" s="6" t="s">
        <v>39</v>
      </c>
      <c r="B40" s="7">
        <v>6232.7694444444442</v>
      </c>
    </row>
  </sheetData>
  <pageMargins left="0.70000000000000007" right="0.70000000000000007" top="0.75" bottom="0.75" header="0.30000000000000004" footer="0.3000000000000000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0"/>
  <sheetViews>
    <sheetView workbookViewId="0"/>
  </sheetViews>
  <sheetFormatPr defaultRowHeight="14.4" x14ac:dyDescent="0.3"/>
  <cols>
    <col min="1" max="1" width="15.21875" bestFit="1" customWidth="1"/>
    <col min="2" max="2" width="19.44140625" bestFit="1" customWidth="1"/>
    <col min="3" max="3" width="22.44140625" bestFit="1" customWidth="1"/>
    <col min="4" max="4" width="8.88671875" customWidth="1"/>
  </cols>
  <sheetData>
    <row r="3" spans="1:3" ht="43.2" x14ac:dyDescent="0.3">
      <c r="A3" s="8" t="s">
        <v>0</v>
      </c>
      <c r="B3" s="8" t="s">
        <v>40</v>
      </c>
      <c r="C3" s="8" t="s">
        <v>41</v>
      </c>
    </row>
    <row r="4" spans="1:3" x14ac:dyDescent="0.3">
      <c r="A4" s="1" t="s">
        <v>2</v>
      </c>
      <c r="B4" s="1">
        <v>34.5</v>
      </c>
      <c r="C4" s="9">
        <v>232</v>
      </c>
    </row>
    <row r="5" spans="1:3" x14ac:dyDescent="0.3">
      <c r="A5" s="3" t="s">
        <v>3</v>
      </c>
      <c r="B5" s="3">
        <v>138.78947368421052</v>
      </c>
      <c r="C5" s="10">
        <v>272.78947368421052</v>
      </c>
    </row>
    <row r="6" spans="1:3" x14ac:dyDescent="0.3">
      <c r="A6" s="3" t="s">
        <v>4</v>
      </c>
      <c r="B6" s="3">
        <v>178.89473684210526</v>
      </c>
      <c r="C6" s="10">
        <v>282.89473684210526</v>
      </c>
    </row>
    <row r="7" spans="1:3" x14ac:dyDescent="0.3">
      <c r="A7" s="3" t="s">
        <v>5</v>
      </c>
      <c r="B7" s="3">
        <v>188.9047619047619</v>
      </c>
      <c r="C7" s="10">
        <v>269.90476190476193</v>
      </c>
    </row>
    <row r="8" spans="1:3" x14ac:dyDescent="0.3">
      <c r="A8" s="3" t="s">
        <v>6</v>
      </c>
      <c r="B8" s="3">
        <v>164.63636363636363</v>
      </c>
      <c r="C8" s="10">
        <v>284.36363636363637</v>
      </c>
    </row>
    <row r="9" spans="1:3" x14ac:dyDescent="0.3">
      <c r="A9" s="3" t="s">
        <v>7</v>
      </c>
      <c r="B9" s="3">
        <v>120.8</v>
      </c>
      <c r="C9" s="10">
        <v>201.45</v>
      </c>
    </row>
    <row r="10" spans="1:3" x14ac:dyDescent="0.3">
      <c r="A10" s="3" t="s">
        <v>8</v>
      </c>
      <c r="B10" s="3">
        <v>185.57142857142858</v>
      </c>
      <c r="C10" s="10">
        <v>209.85714285714286</v>
      </c>
    </row>
    <row r="11" spans="1:3" x14ac:dyDescent="0.3">
      <c r="A11" s="3" t="s">
        <v>9</v>
      </c>
      <c r="B11" s="3">
        <v>179.35</v>
      </c>
      <c r="C11" s="10">
        <v>323.5</v>
      </c>
    </row>
    <row r="12" spans="1:3" x14ac:dyDescent="0.3">
      <c r="A12" s="3" t="s">
        <v>10</v>
      </c>
      <c r="B12" s="3">
        <v>209</v>
      </c>
      <c r="C12" s="10">
        <v>344.5263157894737</v>
      </c>
    </row>
    <row r="13" spans="1:3" x14ac:dyDescent="0.3">
      <c r="A13" s="3" t="s">
        <v>11</v>
      </c>
      <c r="B13" s="3">
        <v>93.13636363636364</v>
      </c>
      <c r="C13" s="10">
        <v>348.09090909090907</v>
      </c>
    </row>
    <row r="14" spans="1:3" x14ac:dyDescent="0.3">
      <c r="A14" s="3" t="s">
        <v>12</v>
      </c>
      <c r="B14" s="3">
        <v>159.9</v>
      </c>
      <c r="C14" s="10">
        <v>299.60000000000002</v>
      </c>
    </row>
    <row r="15" spans="1:3" x14ac:dyDescent="0.3">
      <c r="A15" s="3" t="s">
        <v>13</v>
      </c>
      <c r="B15" s="3">
        <v>163.42105263157896</v>
      </c>
      <c r="C15" s="10">
        <v>358.10526315789474</v>
      </c>
    </row>
    <row r="16" spans="1:3" x14ac:dyDescent="0.3">
      <c r="A16" s="3" t="s">
        <v>14</v>
      </c>
      <c r="B16" s="3">
        <v>129.54545454545453</v>
      </c>
      <c r="C16" s="10">
        <v>295.27272727272725</v>
      </c>
    </row>
    <row r="17" spans="1:3" x14ac:dyDescent="0.3">
      <c r="A17" s="3" t="s">
        <v>16</v>
      </c>
      <c r="B17" s="3">
        <v>316.60000000000002</v>
      </c>
      <c r="C17" s="10">
        <v>263.64999999999998</v>
      </c>
    </row>
    <row r="18" spans="1:3" x14ac:dyDescent="0.3">
      <c r="A18" s="3" t="s">
        <v>17</v>
      </c>
      <c r="B18" s="3">
        <v>248.04761904761904</v>
      </c>
      <c r="C18" s="10">
        <v>270.38095238095241</v>
      </c>
    </row>
    <row r="19" spans="1:3" x14ac:dyDescent="0.3">
      <c r="A19" s="3" t="s">
        <v>18</v>
      </c>
      <c r="B19" s="3">
        <v>235.36363636363637</v>
      </c>
      <c r="C19" s="10">
        <v>203.36363636363637</v>
      </c>
    </row>
    <row r="20" spans="1:3" x14ac:dyDescent="0.3">
      <c r="A20" s="3" t="s">
        <v>19</v>
      </c>
      <c r="B20" s="3">
        <v>247.33333333333334</v>
      </c>
      <c r="C20" s="10">
        <v>206.47619047619048</v>
      </c>
    </row>
    <row r="21" spans="1:3" x14ac:dyDescent="0.3">
      <c r="A21" s="3" t="s">
        <v>20</v>
      </c>
      <c r="B21" s="3">
        <v>232.47619047619048</v>
      </c>
      <c r="C21" s="10">
        <v>233.85714285714286</v>
      </c>
    </row>
    <row r="22" spans="1:3" x14ac:dyDescent="0.3">
      <c r="A22" s="3" t="s">
        <v>21</v>
      </c>
      <c r="B22" s="3">
        <v>175.1904761904762</v>
      </c>
      <c r="C22" s="10">
        <v>185.66666666666666</v>
      </c>
    </row>
    <row r="23" spans="1:3" x14ac:dyDescent="0.3">
      <c r="A23" s="3" t="s">
        <v>22</v>
      </c>
      <c r="B23" s="3">
        <v>186.63157894736841</v>
      </c>
      <c r="C23" s="10">
        <v>161.73684210526315</v>
      </c>
    </row>
    <row r="24" spans="1:3" x14ac:dyDescent="0.3">
      <c r="A24" s="3" t="s">
        <v>23</v>
      </c>
      <c r="B24" s="3">
        <v>181.22727272727272</v>
      </c>
      <c r="C24" s="10">
        <v>167.81818181818181</v>
      </c>
    </row>
    <row r="25" spans="1:3" x14ac:dyDescent="0.3">
      <c r="A25" s="3" t="s">
        <v>24</v>
      </c>
      <c r="B25" s="3">
        <v>185.04761904761904</v>
      </c>
      <c r="C25" s="10">
        <v>152.0952380952381</v>
      </c>
    </row>
    <row r="26" spans="1:3" x14ac:dyDescent="0.3">
      <c r="A26" s="3" t="s">
        <v>25</v>
      </c>
      <c r="B26" s="3">
        <v>179.68421052631578</v>
      </c>
      <c r="C26" s="10">
        <v>157.94736842105263</v>
      </c>
    </row>
    <row r="27" spans="1:3" x14ac:dyDescent="0.3">
      <c r="A27" s="3" t="s">
        <v>26</v>
      </c>
      <c r="B27" s="3">
        <v>199.77272727272728</v>
      </c>
      <c r="C27" s="10">
        <v>166.45454545454547</v>
      </c>
    </row>
    <row r="28" spans="1:3" x14ac:dyDescent="0.3">
      <c r="A28" s="3" t="s">
        <v>27</v>
      </c>
      <c r="B28" s="3">
        <v>79.545454545454547</v>
      </c>
      <c r="C28" s="10">
        <v>151.36363636363637</v>
      </c>
    </row>
    <row r="29" spans="1:3" x14ac:dyDescent="0.3">
      <c r="A29" s="3" t="s">
        <v>28</v>
      </c>
      <c r="B29" s="3">
        <v>17.94736842105263</v>
      </c>
      <c r="C29" s="10">
        <v>61.05263157894737</v>
      </c>
    </row>
    <row r="30" spans="1:3" x14ac:dyDescent="0.3">
      <c r="A30" s="3" t="s">
        <v>29</v>
      </c>
      <c r="B30" s="3">
        <v>8.6363636363636367</v>
      </c>
      <c r="C30" s="10">
        <v>14.045454545454545</v>
      </c>
    </row>
    <row r="31" spans="1:3" x14ac:dyDescent="0.3">
      <c r="A31" s="3" t="s">
        <v>30</v>
      </c>
      <c r="B31" s="3">
        <v>10</v>
      </c>
      <c r="C31" s="10">
        <v>8.8260869565217384</v>
      </c>
    </row>
    <row r="32" spans="1:3" x14ac:dyDescent="0.3">
      <c r="A32" s="3" t="s">
        <v>31</v>
      </c>
      <c r="B32" s="3">
        <v>14</v>
      </c>
      <c r="C32" s="10">
        <v>11.388888888888889</v>
      </c>
    </row>
    <row r="33" spans="1:3" x14ac:dyDescent="0.3">
      <c r="A33" s="3" t="s">
        <v>32</v>
      </c>
      <c r="B33" s="3">
        <v>8.117647058823529</v>
      </c>
      <c r="C33" s="10">
        <v>16.529411764705884</v>
      </c>
    </row>
    <row r="34" spans="1:3" x14ac:dyDescent="0.3">
      <c r="A34" s="3" t="s">
        <v>33</v>
      </c>
      <c r="B34" s="3">
        <v>4.1904761904761907</v>
      </c>
      <c r="C34" s="10">
        <v>18.857142857142858</v>
      </c>
    </row>
    <row r="35" spans="1:3" x14ac:dyDescent="0.3">
      <c r="A35" s="3" t="s">
        <v>34</v>
      </c>
      <c r="B35" s="3">
        <v>7.35</v>
      </c>
      <c r="C35" s="10">
        <v>12.7</v>
      </c>
    </row>
    <row r="36" spans="1:3" x14ac:dyDescent="0.3">
      <c r="A36" s="3" t="s">
        <v>35</v>
      </c>
      <c r="B36" s="3">
        <v>11.818181818181818</v>
      </c>
      <c r="C36" s="10">
        <v>10.772727272727273</v>
      </c>
    </row>
    <row r="37" spans="1:3" x14ac:dyDescent="0.3">
      <c r="A37" s="3" t="s">
        <v>36</v>
      </c>
      <c r="B37" s="3">
        <v>12.523809523809524</v>
      </c>
      <c r="C37" s="10">
        <v>11.523809523809524</v>
      </c>
    </row>
    <row r="38" spans="1:3" x14ac:dyDescent="0.3">
      <c r="A38" s="3" t="s">
        <v>37</v>
      </c>
      <c r="B38" s="3">
        <v>9.5789473684210531</v>
      </c>
      <c r="C38" s="10">
        <v>8.3684210526315788</v>
      </c>
    </row>
    <row r="39" spans="1:3" x14ac:dyDescent="0.3">
      <c r="A39" s="3" t="s">
        <v>38</v>
      </c>
      <c r="B39" s="3">
        <v>8.2666666666666675</v>
      </c>
      <c r="C39" s="10">
        <v>9.6</v>
      </c>
    </row>
    <row r="40" spans="1:3" x14ac:dyDescent="0.3">
      <c r="A40" s="6" t="s">
        <v>39</v>
      </c>
      <c r="B40" s="6">
        <v>128.66805555555555</v>
      </c>
      <c r="C40" s="11">
        <v>173.40694444444443</v>
      </c>
    </row>
  </sheetData>
  <pageMargins left="0.70000000000000007" right="0.70000000000000007" top="0.75" bottom="0.75" header="0.30000000000000004" footer="0.3000000000000000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0"/>
  <sheetViews>
    <sheetView workbookViewId="0"/>
  </sheetViews>
  <sheetFormatPr defaultRowHeight="14.4" x14ac:dyDescent="0.3"/>
  <cols>
    <col min="1" max="1" width="13" bestFit="1" customWidth="1"/>
    <col min="2" max="2" width="26.5546875" bestFit="1" customWidth="1"/>
    <col min="3" max="3" width="8.88671875" customWidth="1"/>
  </cols>
  <sheetData>
    <row r="3" spans="1:2" x14ac:dyDescent="0.3">
      <c r="A3" s="1" t="s">
        <v>0</v>
      </c>
      <c r="B3" s="2" t="s">
        <v>42</v>
      </c>
    </row>
    <row r="4" spans="1:2" x14ac:dyDescent="0.3">
      <c r="A4" s="1" t="s">
        <v>2</v>
      </c>
      <c r="B4" s="2">
        <v>-197.5</v>
      </c>
    </row>
    <row r="5" spans="1:2" x14ac:dyDescent="0.3">
      <c r="A5" s="3" t="s">
        <v>3</v>
      </c>
      <c r="B5" s="4">
        <v>-134</v>
      </c>
    </row>
    <row r="6" spans="1:2" x14ac:dyDescent="0.3">
      <c r="A6" s="3" t="s">
        <v>4</v>
      </c>
      <c r="B6" s="4">
        <v>-104</v>
      </c>
    </row>
    <row r="7" spans="1:2" x14ac:dyDescent="0.3">
      <c r="A7" s="3" t="s">
        <v>5</v>
      </c>
      <c r="B7" s="4">
        <v>-81</v>
      </c>
    </row>
    <row r="8" spans="1:2" x14ac:dyDescent="0.3">
      <c r="A8" s="3" t="s">
        <v>6</v>
      </c>
      <c r="B8" s="4">
        <v>-119.72727272727273</v>
      </c>
    </row>
    <row r="9" spans="1:2" x14ac:dyDescent="0.3">
      <c r="A9" s="3" t="s">
        <v>7</v>
      </c>
      <c r="B9" s="4">
        <v>-80.650000000000006</v>
      </c>
    </row>
    <row r="10" spans="1:2" x14ac:dyDescent="0.3">
      <c r="A10" s="3" t="s">
        <v>8</v>
      </c>
      <c r="B10" s="4">
        <v>-24.285714285714285</v>
      </c>
    </row>
    <row r="11" spans="1:2" x14ac:dyDescent="0.3">
      <c r="A11" s="3" t="s">
        <v>9</v>
      </c>
      <c r="B11" s="4">
        <v>-144.15</v>
      </c>
    </row>
    <row r="12" spans="1:2" x14ac:dyDescent="0.3">
      <c r="A12" s="3" t="s">
        <v>10</v>
      </c>
      <c r="B12" s="4">
        <v>-135.52631578947367</v>
      </c>
    </row>
    <row r="13" spans="1:2" x14ac:dyDescent="0.3">
      <c r="A13" s="3" t="s">
        <v>11</v>
      </c>
      <c r="B13" s="4">
        <v>-254.95454545454547</v>
      </c>
    </row>
    <row r="14" spans="1:2" x14ac:dyDescent="0.3">
      <c r="A14" s="3" t="s">
        <v>12</v>
      </c>
      <c r="B14" s="4">
        <v>-139.69999999999999</v>
      </c>
    </row>
    <row r="15" spans="1:2" x14ac:dyDescent="0.3">
      <c r="A15" s="3" t="s">
        <v>13</v>
      </c>
      <c r="B15" s="4">
        <v>-194.68421052631578</v>
      </c>
    </row>
    <row r="16" spans="1:2" x14ac:dyDescent="0.3">
      <c r="A16" s="3" t="s">
        <v>14</v>
      </c>
      <c r="B16" s="4">
        <v>-165.72727272727272</v>
      </c>
    </row>
    <row r="17" spans="1:2" x14ac:dyDescent="0.3">
      <c r="A17" s="3" t="s">
        <v>16</v>
      </c>
      <c r="B17" s="4">
        <v>52.95</v>
      </c>
    </row>
    <row r="18" spans="1:2" x14ac:dyDescent="0.3">
      <c r="A18" s="3" t="s">
        <v>17</v>
      </c>
      <c r="B18" s="4">
        <v>-22.333333333333332</v>
      </c>
    </row>
    <row r="19" spans="1:2" x14ac:dyDescent="0.3">
      <c r="A19" s="3" t="s">
        <v>18</v>
      </c>
      <c r="B19" s="4">
        <v>32</v>
      </c>
    </row>
    <row r="20" spans="1:2" x14ac:dyDescent="0.3">
      <c r="A20" s="3" t="s">
        <v>19</v>
      </c>
      <c r="B20" s="4">
        <v>40.857142857142854</v>
      </c>
    </row>
    <row r="21" spans="1:2" x14ac:dyDescent="0.3">
      <c r="A21" s="3" t="s">
        <v>20</v>
      </c>
      <c r="B21" s="4">
        <v>-1.3809523809523809</v>
      </c>
    </row>
    <row r="22" spans="1:2" x14ac:dyDescent="0.3">
      <c r="A22" s="3" t="s">
        <v>21</v>
      </c>
      <c r="B22" s="4">
        <v>-10.476190476190476</v>
      </c>
    </row>
    <row r="23" spans="1:2" x14ac:dyDescent="0.3">
      <c r="A23" s="3" t="s">
        <v>22</v>
      </c>
      <c r="B23" s="4">
        <v>24.894736842105264</v>
      </c>
    </row>
    <row r="24" spans="1:2" x14ac:dyDescent="0.3">
      <c r="A24" s="3" t="s">
        <v>23</v>
      </c>
      <c r="B24" s="4">
        <v>13.409090909090908</v>
      </c>
    </row>
    <row r="25" spans="1:2" x14ac:dyDescent="0.3">
      <c r="A25" s="3" t="s">
        <v>24</v>
      </c>
      <c r="B25" s="4">
        <v>32.952380952380949</v>
      </c>
    </row>
    <row r="26" spans="1:2" x14ac:dyDescent="0.3">
      <c r="A26" s="3" t="s">
        <v>25</v>
      </c>
      <c r="B26" s="4">
        <v>21.736842105263158</v>
      </c>
    </row>
    <row r="27" spans="1:2" x14ac:dyDescent="0.3">
      <c r="A27" s="3" t="s">
        <v>26</v>
      </c>
      <c r="B27" s="4">
        <v>33.31818181818182</v>
      </c>
    </row>
    <row r="28" spans="1:2" x14ac:dyDescent="0.3">
      <c r="A28" s="3" t="s">
        <v>27</v>
      </c>
      <c r="B28" s="4">
        <v>-71.818181818181813</v>
      </c>
    </row>
    <row r="29" spans="1:2" x14ac:dyDescent="0.3">
      <c r="A29" s="3" t="s">
        <v>28</v>
      </c>
      <c r="B29" s="4">
        <v>-43.10526315789474</v>
      </c>
    </row>
    <row r="30" spans="1:2" x14ac:dyDescent="0.3">
      <c r="A30" s="3" t="s">
        <v>29</v>
      </c>
      <c r="B30" s="4">
        <v>-5.4090909090909092</v>
      </c>
    </row>
    <row r="31" spans="1:2" x14ac:dyDescent="0.3">
      <c r="A31" s="3" t="s">
        <v>30</v>
      </c>
      <c r="B31" s="4">
        <v>1.173913043478261</v>
      </c>
    </row>
    <row r="32" spans="1:2" x14ac:dyDescent="0.3">
      <c r="A32" s="3" t="s">
        <v>31</v>
      </c>
      <c r="B32" s="4">
        <v>2.6111111111111112</v>
      </c>
    </row>
    <row r="33" spans="1:2" x14ac:dyDescent="0.3">
      <c r="A33" s="3" t="s">
        <v>32</v>
      </c>
      <c r="B33" s="4">
        <v>-8.4117647058823533</v>
      </c>
    </row>
    <row r="34" spans="1:2" x14ac:dyDescent="0.3">
      <c r="A34" s="3" t="s">
        <v>33</v>
      </c>
      <c r="B34" s="4">
        <v>-14.666666666666666</v>
      </c>
    </row>
    <row r="35" spans="1:2" x14ac:dyDescent="0.3">
      <c r="A35" s="3" t="s">
        <v>34</v>
      </c>
      <c r="B35" s="4">
        <v>-5.35</v>
      </c>
    </row>
    <row r="36" spans="1:2" x14ac:dyDescent="0.3">
      <c r="A36" s="3" t="s">
        <v>35</v>
      </c>
      <c r="B36" s="4">
        <v>1.0454545454545454</v>
      </c>
    </row>
    <row r="37" spans="1:2" x14ac:dyDescent="0.3">
      <c r="A37" s="3" t="s">
        <v>36</v>
      </c>
      <c r="B37" s="4">
        <v>1</v>
      </c>
    </row>
    <row r="38" spans="1:2" x14ac:dyDescent="0.3">
      <c r="A38" s="3" t="s">
        <v>37</v>
      </c>
      <c r="B38" s="4">
        <v>1.2105263157894737</v>
      </c>
    </row>
    <row r="39" spans="1:2" x14ac:dyDescent="0.3">
      <c r="A39" s="3" t="s">
        <v>38</v>
      </c>
      <c r="B39" s="4">
        <v>-1.3333333333333333</v>
      </c>
    </row>
    <row r="40" spans="1:2" x14ac:dyDescent="0.3">
      <c r="A40" s="6" t="s">
        <v>39</v>
      </c>
      <c r="B40" s="7">
        <v>-44.738888888888887</v>
      </c>
    </row>
  </sheetData>
  <pageMargins left="0.70000000000000007" right="0.70000000000000007" top="0.75" bottom="0.75" header="0.30000000000000004" footer="0.300000000000000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171"/>
  <sheetViews>
    <sheetView tabSelected="1" workbookViewId="0">
      <selection activeCell="A10" sqref="A10"/>
    </sheetView>
  </sheetViews>
  <sheetFormatPr defaultRowHeight="14.4" x14ac:dyDescent="0.3"/>
  <cols>
    <col min="1" max="1" width="10.44140625" bestFit="1" customWidth="1"/>
    <col min="2" max="2" width="11.33203125" bestFit="1" customWidth="1"/>
    <col min="3" max="3" width="15.5546875" bestFit="1" customWidth="1"/>
    <col min="4" max="4" width="28.21875" bestFit="1" customWidth="1"/>
    <col min="5" max="5" width="18.33203125" bestFit="1" customWidth="1"/>
    <col min="6" max="6" width="22.44140625" bestFit="1" customWidth="1"/>
    <col min="7" max="7" width="18.44140625" bestFit="1" customWidth="1"/>
    <col min="8" max="8" width="22.21875" bestFit="1" customWidth="1"/>
    <col min="9" max="9" width="15.6640625" bestFit="1" customWidth="1"/>
    <col min="10" max="10" width="14.21875" bestFit="1" customWidth="1"/>
    <col min="11" max="11" width="15.88671875" bestFit="1" customWidth="1"/>
    <col min="12" max="13" width="14" bestFit="1" customWidth="1"/>
    <col min="14" max="14" width="17.44140625" bestFit="1" customWidth="1"/>
    <col min="15" max="15" width="14.88671875" style="16" bestFit="1" customWidth="1"/>
    <col min="16" max="16" width="11.44140625" customWidth="1"/>
    <col min="17" max="17" width="15.6640625" customWidth="1"/>
    <col min="18" max="18" width="8.88671875" customWidth="1"/>
  </cols>
  <sheetData>
    <row r="1" spans="1:17" ht="55.2" customHeight="1" x14ac:dyDescent="0.3">
      <c r="A1" s="8" t="s">
        <v>43</v>
      </c>
      <c r="B1" s="8" t="s">
        <v>44</v>
      </c>
      <c r="C1" s="8" t="s">
        <v>0</v>
      </c>
      <c r="D1" s="8" t="s">
        <v>45</v>
      </c>
      <c r="E1" s="8" t="s">
        <v>46</v>
      </c>
      <c r="F1" s="8" t="s">
        <v>47</v>
      </c>
      <c r="G1" s="8" t="s">
        <v>48</v>
      </c>
      <c r="H1" s="8" t="s">
        <v>49</v>
      </c>
      <c r="I1" s="8" t="s">
        <v>50</v>
      </c>
      <c r="J1" s="8" t="s">
        <v>51</v>
      </c>
      <c r="K1" s="8" t="s">
        <v>52</v>
      </c>
      <c r="L1" s="8" t="s">
        <v>53</v>
      </c>
      <c r="M1" s="8" t="s">
        <v>54</v>
      </c>
      <c r="N1" s="12" t="s">
        <v>55</v>
      </c>
      <c r="O1" s="8" t="s">
        <v>56</v>
      </c>
      <c r="P1" s="8" t="s">
        <v>57</v>
      </c>
      <c r="Q1" s="8" t="s">
        <v>58</v>
      </c>
    </row>
    <row r="2" spans="1:17" x14ac:dyDescent="0.3">
      <c r="A2" s="13">
        <v>44938</v>
      </c>
      <c r="B2" s="13" t="str">
        <f t="shared" ref="B2:B65" si="0">TEXT(A2, "mmmm")</f>
        <v>January</v>
      </c>
      <c r="C2" s="13" t="str">
        <f t="shared" ref="C2:C65" si="1">TEXT(A2, "yyyy-mm")</f>
        <v>2023-01</v>
      </c>
      <c r="D2" s="8">
        <v>33</v>
      </c>
      <c r="E2" s="8">
        <v>53</v>
      </c>
      <c r="F2" s="8">
        <v>34</v>
      </c>
      <c r="G2" s="8">
        <v>6566</v>
      </c>
      <c r="H2" s="8">
        <v>436</v>
      </c>
      <c r="I2" s="14">
        <f t="shared" ref="I2:I65" si="2">SUM(G2+E2)</f>
        <v>6619</v>
      </c>
      <c r="J2" s="14">
        <f t="shared" ref="J2:J65" si="3">F2-H2</f>
        <v>-402</v>
      </c>
      <c r="K2" s="15">
        <f t="shared" ref="K2:K65" si="4">(I3-I2)/I2</f>
        <v>8.3396283426499476E-2</v>
      </c>
      <c r="L2" s="16" t="str">
        <f t="shared" ref="L2:L65" si="5">IF(F2&lt;=E2, "Valid", "Invalid")</f>
        <v>Valid</v>
      </c>
      <c r="M2" s="16" t="str">
        <f t="shared" ref="M2:M65" si="6">IF(H2&lt;=G2, "Valid", "Invalid")</f>
        <v>Valid</v>
      </c>
      <c r="N2" s="17" t="str">
        <f t="shared" ref="N2:N65" si="7">IF(J2&gt;0, "Increasing Pressure", "Stable/Reducing")</f>
        <v>Stable/Reducing</v>
      </c>
      <c r="O2" s="16">
        <f t="shared" ref="O2:O65" si="8">IFERROR(H2/F2, 0)</f>
        <v>12.823529411764707</v>
      </c>
      <c r="P2" s="14">
        <f>P3</f>
        <v>7527</v>
      </c>
      <c r="Q2" s="16">
        <f t="shared" ref="Q2:Q65" si="9">_xlfn.STDEV.S(I:I)</f>
        <v>2918.4580782596145</v>
      </c>
    </row>
    <row r="3" spans="1:17" x14ac:dyDescent="0.3">
      <c r="A3" s="13">
        <v>44948</v>
      </c>
      <c r="B3" s="13" t="str">
        <f t="shared" si="0"/>
        <v>January</v>
      </c>
      <c r="C3" s="13" t="str">
        <f t="shared" si="1"/>
        <v>2023-01</v>
      </c>
      <c r="D3" s="8">
        <v>32</v>
      </c>
      <c r="E3" s="8">
        <v>49</v>
      </c>
      <c r="F3" s="8">
        <v>39</v>
      </c>
      <c r="G3" s="8">
        <v>7122</v>
      </c>
      <c r="H3" s="8">
        <v>227</v>
      </c>
      <c r="I3" s="14">
        <f t="shared" si="2"/>
        <v>7171</v>
      </c>
      <c r="J3" s="14">
        <f t="shared" si="3"/>
        <v>-188</v>
      </c>
      <c r="K3" s="15">
        <f t="shared" si="4"/>
        <v>2.2172639799191186E-2</v>
      </c>
      <c r="L3" s="16" t="str">
        <f t="shared" si="5"/>
        <v>Valid</v>
      </c>
      <c r="M3" s="16" t="str">
        <f t="shared" si="6"/>
        <v>Valid</v>
      </c>
      <c r="N3" s="17" t="str">
        <f t="shared" si="7"/>
        <v>Stable/Reducing</v>
      </c>
      <c r="O3" s="16">
        <f t="shared" si="8"/>
        <v>5.8205128205128203</v>
      </c>
      <c r="P3" s="14">
        <f t="shared" ref="P3:P66" si="10">AVERAGE(I3:I9)</f>
        <v>7527</v>
      </c>
      <c r="Q3" s="16">
        <f t="shared" si="9"/>
        <v>2918.4580782596145</v>
      </c>
    </row>
    <row r="4" spans="1:17" x14ac:dyDescent="0.3">
      <c r="A4" s="13">
        <v>44949</v>
      </c>
      <c r="B4" s="13" t="str">
        <f t="shared" si="0"/>
        <v>January</v>
      </c>
      <c r="C4" s="13" t="str">
        <f t="shared" si="1"/>
        <v>2023-01</v>
      </c>
      <c r="D4" s="8">
        <v>32</v>
      </c>
      <c r="E4" s="8">
        <v>50</v>
      </c>
      <c r="F4" s="8">
        <v>39</v>
      </c>
      <c r="G4" s="8">
        <v>7280</v>
      </c>
      <c r="H4" s="8">
        <v>181</v>
      </c>
      <c r="I4" s="14">
        <f t="shared" si="2"/>
        <v>7330</v>
      </c>
      <c r="J4" s="14">
        <f t="shared" si="3"/>
        <v>-142</v>
      </c>
      <c r="K4" s="15">
        <f t="shared" si="4"/>
        <v>1.9781718963165076E-2</v>
      </c>
      <c r="L4" s="16" t="str">
        <f t="shared" si="5"/>
        <v>Valid</v>
      </c>
      <c r="M4" s="16" t="str">
        <f t="shared" si="6"/>
        <v>Valid</v>
      </c>
      <c r="N4" s="17" t="str">
        <f t="shared" si="7"/>
        <v>Stable/Reducing</v>
      </c>
      <c r="O4" s="16">
        <f t="shared" si="8"/>
        <v>4.6410256410256414</v>
      </c>
      <c r="P4" s="14">
        <f t="shared" si="10"/>
        <v>7636.1428571428569</v>
      </c>
      <c r="Q4" s="16">
        <f t="shared" si="9"/>
        <v>2918.4580782596145</v>
      </c>
    </row>
    <row r="5" spans="1:17" x14ac:dyDescent="0.3">
      <c r="A5" s="13">
        <v>44950</v>
      </c>
      <c r="B5" s="13" t="str">
        <f t="shared" si="0"/>
        <v>January</v>
      </c>
      <c r="C5" s="13" t="str">
        <f t="shared" si="1"/>
        <v>2023-01</v>
      </c>
      <c r="D5" s="8">
        <v>47</v>
      </c>
      <c r="E5" s="8">
        <v>42</v>
      </c>
      <c r="F5" s="8">
        <v>47</v>
      </c>
      <c r="G5" s="8">
        <v>7433</v>
      </c>
      <c r="H5" s="8">
        <v>175</v>
      </c>
      <c r="I5" s="14">
        <f t="shared" si="2"/>
        <v>7475</v>
      </c>
      <c r="J5" s="14">
        <f t="shared" si="3"/>
        <v>-128</v>
      </c>
      <c r="K5" s="15">
        <f t="shared" si="4"/>
        <v>1.137123745819398E-2</v>
      </c>
      <c r="L5" s="16" t="str">
        <f t="shared" si="5"/>
        <v>Invalid</v>
      </c>
      <c r="M5" s="16" t="str">
        <f t="shared" si="6"/>
        <v>Valid</v>
      </c>
      <c r="N5" s="17" t="str">
        <f t="shared" si="7"/>
        <v>Stable/Reducing</v>
      </c>
      <c r="O5" s="16">
        <f t="shared" si="8"/>
        <v>3.7234042553191489</v>
      </c>
      <c r="P5" s="14">
        <f t="shared" si="10"/>
        <v>7716.4285714285716</v>
      </c>
      <c r="Q5" s="16">
        <f t="shared" si="9"/>
        <v>2918.4580782596145</v>
      </c>
    </row>
    <row r="6" spans="1:17" x14ac:dyDescent="0.3">
      <c r="A6" s="13">
        <v>44951</v>
      </c>
      <c r="B6" s="13" t="str">
        <f t="shared" si="0"/>
        <v>January</v>
      </c>
      <c r="C6" s="13" t="str">
        <f t="shared" si="1"/>
        <v>2023-01</v>
      </c>
      <c r="D6" s="8">
        <v>20</v>
      </c>
      <c r="E6" s="8">
        <v>22</v>
      </c>
      <c r="F6" s="8">
        <v>41</v>
      </c>
      <c r="G6" s="8">
        <v>7538</v>
      </c>
      <c r="H6" s="8">
        <v>180</v>
      </c>
      <c r="I6" s="14">
        <f t="shared" si="2"/>
        <v>7560</v>
      </c>
      <c r="J6" s="14">
        <f t="shared" si="3"/>
        <v>-139</v>
      </c>
      <c r="K6" s="15">
        <f t="shared" si="4"/>
        <v>-5.6878306878306879E-3</v>
      </c>
      <c r="L6" s="16" t="str">
        <f t="shared" si="5"/>
        <v>Invalid</v>
      </c>
      <c r="M6" s="16" t="str">
        <f t="shared" si="6"/>
        <v>Valid</v>
      </c>
      <c r="N6" s="17" t="str">
        <f t="shared" si="7"/>
        <v>Stable/Reducing</v>
      </c>
      <c r="O6" s="16">
        <f t="shared" si="8"/>
        <v>4.3902439024390247</v>
      </c>
      <c r="P6" s="14">
        <f t="shared" si="10"/>
        <v>7734.8571428571431</v>
      </c>
      <c r="Q6" s="16">
        <f t="shared" si="9"/>
        <v>2918.4580782596145</v>
      </c>
    </row>
    <row r="7" spans="1:17" x14ac:dyDescent="0.3">
      <c r="A7" s="13">
        <v>44955</v>
      </c>
      <c r="B7" s="13" t="str">
        <f t="shared" si="0"/>
        <v>January</v>
      </c>
      <c r="C7" s="13" t="str">
        <f t="shared" si="1"/>
        <v>2023-01</v>
      </c>
      <c r="D7" s="8">
        <v>23</v>
      </c>
      <c r="E7" s="8">
        <v>45</v>
      </c>
      <c r="F7" s="8">
        <v>11</v>
      </c>
      <c r="G7" s="8">
        <v>7472</v>
      </c>
      <c r="H7" s="8">
        <v>303</v>
      </c>
      <c r="I7" s="14">
        <f t="shared" si="2"/>
        <v>7517</v>
      </c>
      <c r="J7" s="14">
        <f t="shared" si="3"/>
        <v>-292</v>
      </c>
      <c r="K7" s="15">
        <f t="shared" si="4"/>
        <v>3.7248902487694559E-2</v>
      </c>
      <c r="L7" s="16" t="str">
        <f t="shared" si="5"/>
        <v>Valid</v>
      </c>
      <c r="M7" s="16" t="str">
        <f t="shared" si="6"/>
        <v>Valid</v>
      </c>
      <c r="N7" s="17" t="str">
        <f t="shared" si="7"/>
        <v>Stable/Reducing</v>
      </c>
      <c r="O7" s="16">
        <f t="shared" si="8"/>
        <v>27.545454545454547</v>
      </c>
      <c r="P7" s="14">
        <f t="shared" si="10"/>
        <v>7760.8571428571431</v>
      </c>
      <c r="Q7" s="16">
        <f t="shared" si="9"/>
        <v>2918.4580782596145</v>
      </c>
    </row>
    <row r="8" spans="1:17" x14ac:dyDescent="0.3">
      <c r="A8" s="13">
        <v>44956</v>
      </c>
      <c r="B8" s="13" t="str">
        <f t="shared" si="0"/>
        <v>January</v>
      </c>
      <c r="C8" s="13" t="str">
        <f t="shared" si="1"/>
        <v>2023-01</v>
      </c>
      <c r="D8" s="8">
        <v>34</v>
      </c>
      <c r="E8" s="8">
        <v>54</v>
      </c>
      <c r="F8" s="8">
        <v>29</v>
      </c>
      <c r="G8" s="8">
        <v>7743</v>
      </c>
      <c r="H8" s="8">
        <v>196</v>
      </c>
      <c r="I8" s="14">
        <f t="shared" si="2"/>
        <v>7797</v>
      </c>
      <c r="J8" s="14">
        <f t="shared" si="3"/>
        <v>-167</v>
      </c>
      <c r="K8" s="15">
        <f t="shared" si="4"/>
        <v>5.3866871873797613E-3</v>
      </c>
      <c r="L8" s="16" t="str">
        <f t="shared" si="5"/>
        <v>Valid</v>
      </c>
      <c r="M8" s="16" t="str">
        <f t="shared" si="6"/>
        <v>Valid</v>
      </c>
      <c r="N8" s="17" t="str">
        <f t="shared" si="7"/>
        <v>Stable/Reducing</v>
      </c>
      <c r="O8" s="16">
        <f t="shared" si="8"/>
        <v>6.7586206896551726</v>
      </c>
      <c r="P8" s="14">
        <f t="shared" si="10"/>
        <v>7812</v>
      </c>
      <c r="Q8" s="16">
        <f t="shared" si="9"/>
        <v>2918.4580782596145</v>
      </c>
    </row>
    <row r="9" spans="1:17" x14ac:dyDescent="0.3">
      <c r="A9" s="13">
        <v>44957</v>
      </c>
      <c r="B9" s="13" t="str">
        <f t="shared" si="0"/>
        <v>January</v>
      </c>
      <c r="C9" s="13" t="str">
        <f t="shared" si="1"/>
        <v>2023-01</v>
      </c>
      <c r="D9" s="8">
        <v>26</v>
      </c>
      <c r="E9" s="8">
        <v>36</v>
      </c>
      <c r="F9" s="8">
        <v>36</v>
      </c>
      <c r="G9" s="8">
        <v>7803</v>
      </c>
      <c r="H9" s="8">
        <v>158</v>
      </c>
      <c r="I9" s="14">
        <f t="shared" si="2"/>
        <v>7839</v>
      </c>
      <c r="J9" s="14">
        <f t="shared" si="3"/>
        <v>-122</v>
      </c>
      <c r="K9" s="15">
        <f t="shared" si="4"/>
        <v>1.2246460007654038E-2</v>
      </c>
      <c r="L9" s="16" t="str">
        <f t="shared" si="5"/>
        <v>Valid</v>
      </c>
      <c r="M9" s="16" t="str">
        <f t="shared" si="6"/>
        <v>Valid</v>
      </c>
      <c r="N9" s="17" t="str">
        <f t="shared" si="7"/>
        <v>Stable/Reducing</v>
      </c>
      <c r="O9" s="16">
        <f t="shared" si="8"/>
        <v>4.3888888888888893</v>
      </c>
      <c r="P9" s="14">
        <f t="shared" si="10"/>
        <v>7856.8571428571431</v>
      </c>
      <c r="Q9" s="16">
        <f t="shared" si="9"/>
        <v>2918.4580782596145</v>
      </c>
    </row>
    <row r="10" spans="1:17" x14ac:dyDescent="0.3">
      <c r="A10" s="13">
        <v>44958</v>
      </c>
      <c r="B10" s="13" t="str">
        <f t="shared" si="0"/>
        <v>February</v>
      </c>
      <c r="C10" s="13" t="str">
        <f t="shared" si="1"/>
        <v>2023-02</v>
      </c>
      <c r="D10" s="8">
        <v>25</v>
      </c>
      <c r="E10" s="8">
        <v>32</v>
      </c>
      <c r="F10" s="8">
        <v>27</v>
      </c>
      <c r="G10" s="8">
        <v>7903</v>
      </c>
      <c r="H10" s="8">
        <v>231</v>
      </c>
      <c r="I10" s="14">
        <f t="shared" si="2"/>
        <v>7935</v>
      </c>
      <c r="J10" s="14">
        <f t="shared" si="3"/>
        <v>-204</v>
      </c>
      <c r="K10" s="15">
        <f t="shared" si="4"/>
        <v>-5.4190296156269692E-3</v>
      </c>
      <c r="L10" s="16" t="str">
        <f t="shared" si="5"/>
        <v>Valid</v>
      </c>
      <c r="M10" s="16" t="str">
        <f t="shared" si="6"/>
        <v>Valid</v>
      </c>
      <c r="N10" s="17" t="str">
        <f t="shared" si="7"/>
        <v>Stable/Reducing</v>
      </c>
      <c r="O10" s="16">
        <f t="shared" si="8"/>
        <v>8.5555555555555554</v>
      </c>
      <c r="P10" s="14">
        <f t="shared" si="10"/>
        <v>7900.1428571428569</v>
      </c>
      <c r="Q10" s="16">
        <f t="shared" si="9"/>
        <v>2918.4580782596145</v>
      </c>
    </row>
    <row r="11" spans="1:17" x14ac:dyDescent="0.3">
      <c r="A11" s="13">
        <v>44959</v>
      </c>
      <c r="B11" s="13" t="str">
        <f t="shared" si="0"/>
        <v>February</v>
      </c>
      <c r="C11" s="13" t="str">
        <f t="shared" si="1"/>
        <v>2023-02</v>
      </c>
      <c r="D11" s="8">
        <v>15</v>
      </c>
      <c r="E11" s="8">
        <v>13</v>
      </c>
      <c r="F11" s="8">
        <v>23</v>
      </c>
      <c r="G11" s="8">
        <v>7879</v>
      </c>
      <c r="H11" s="8">
        <v>298</v>
      </c>
      <c r="I11" s="14">
        <f t="shared" si="2"/>
        <v>7892</v>
      </c>
      <c r="J11" s="14">
        <f t="shared" si="3"/>
        <v>-275</v>
      </c>
      <c r="K11" s="15">
        <f t="shared" si="4"/>
        <v>-3.6492650785605679E-2</v>
      </c>
      <c r="L11" s="16" t="str">
        <f t="shared" si="5"/>
        <v>Invalid</v>
      </c>
      <c r="M11" s="16" t="str">
        <f t="shared" si="6"/>
        <v>Valid</v>
      </c>
      <c r="N11" s="17" t="str">
        <f t="shared" si="7"/>
        <v>Stable/Reducing</v>
      </c>
      <c r="O11" s="16">
        <f t="shared" si="8"/>
        <v>12.956521739130435</v>
      </c>
      <c r="P11" s="14">
        <f t="shared" si="10"/>
        <v>7857.5714285714284</v>
      </c>
      <c r="Q11" s="16">
        <f t="shared" si="9"/>
        <v>2918.4580782596145</v>
      </c>
    </row>
    <row r="12" spans="1:17" x14ac:dyDescent="0.3">
      <c r="A12" s="13">
        <v>44962</v>
      </c>
      <c r="B12" s="13" t="str">
        <f t="shared" si="0"/>
        <v>February</v>
      </c>
      <c r="C12" s="13" t="str">
        <f t="shared" si="1"/>
        <v>2023-02</v>
      </c>
      <c r="D12" s="8">
        <v>16</v>
      </c>
      <c r="E12" s="8">
        <v>18</v>
      </c>
      <c r="F12" s="8">
        <v>15</v>
      </c>
      <c r="G12" s="8">
        <v>7586</v>
      </c>
      <c r="H12" s="8">
        <v>342</v>
      </c>
      <c r="I12" s="14">
        <f t="shared" si="2"/>
        <v>7604</v>
      </c>
      <c r="J12" s="14">
        <f t="shared" si="3"/>
        <v>-327</v>
      </c>
      <c r="K12" s="15">
        <f t="shared" si="4"/>
        <v>1.8148342977380327E-2</v>
      </c>
      <c r="L12" s="16" t="str">
        <f t="shared" si="5"/>
        <v>Valid</v>
      </c>
      <c r="M12" s="16" t="str">
        <f t="shared" si="6"/>
        <v>Valid</v>
      </c>
      <c r="N12" s="17" t="str">
        <f t="shared" si="7"/>
        <v>Stable/Reducing</v>
      </c>
      <c r="O12" s="16">
        <f t="shared" si="8"/>
        <v>22.8</v>
      </c>
      <c r="P12" s="14">
        <f t="shared" si="10"/>
        <v>7836.1428571428569</v>
      </c>
      <c r="Q12" s="16">
        <f t="shared" si="9"/>
        <v>2918.4580782596145</v>
      </c>
    </row>
    <row r="13" spans="1:17" x14ac:dyDescent="0.3">
      <c r="A13" s="13">
        <v>44963</v>
      </c>
      <c r="B13" s="13" t="str">
        <f t="shared" si="0"/>
        <v>February</v>
      </c>
      <c r="C13" s="13" t="str">
        <f t="shared" si="1"/>
        <v>2023-02</v>
      </c>
      <c r="D13" s="8">
        <v>11</v>
      </c>
      <c r="E13" s="8">
        <v>22</v>
      </c>
      <c r="F13" s="8">
        <v>12</v>
      </c>
      <c r="G13" s="8">
        <v>7720</v>
      </c>
      <c r="H13" s="8">
        <v>196</v>
      </c>
      <c r="I13" s="14">
        <f t="shared" si="2"/>
        <v>7742</v>
      </c>
      <c r="J13" s="14">
        <f t="shared" si="3"/>
        <v>-184</v>
      </c>
      <c r="K13" s="15">
        <f t="shared" si="4"/>
        <v>1.7179023508137433E-2</v>
      </c>
      <c r="L13" s="16" t="str">
        <f t="shared" si="5"/>
        <v>Valid</v>
      </c>
      <c r="M13" s="16" t="str">
        <f t="shared" si="6"/>
        <v>Valid</v>
      </c>
      <c r="N13" s="17" t="str">
        <f t="shared" si="7"/>
        <v>Stable/Reducing</v>
      </c>
      <c r="O13" s="16">
        <f t="shared" si="8"/>
        <v>16.333333333333332</v>
      </c>
      <c r="P13" s="14">
        <f t="shared" si="10"/>
        <v>7895.4285714285716</v>
      </c>
      <c r="Q13" s="16">
        <f t="shared" si="9"/>
        <v>2918.4580782596145</v>
      </c>
    </row>
    <row r="14" spans="1:17" x14ac:dyDescent="0.3">
      <c r="A14" s="13">
        <v>44964</v>
      </c>
      <c r="B14" s="13" t="str">
        <f t="shared" si="0"/>
        <v>February</v>
      </c>
      <c r="C14" s="13" t="str">
        <f t="shared" si="1"/>
        <v>2023-02</v>
      </c>
      <c r="D14" s="8">
        <v>16</v>
      </c>
      <c r="E14" s="8">
        <v>20</v>
      </c>
      <c r="F14" s="8">
        <v>20</v>
      </c>
      <c r="G14" s="8">
        <v>7855</v>
      </c>
      <c r="H14" s="8">
        <v>200</v>
      </c>
      <c r="I14" s="14">
        <f t="shared" si="2"/>
        <v>7875</v>
      </c>
      <c r="J14" s="14">
        <f t="shared" si="3"/>
        <v>-180</v>
      </c>
      <c r="K14" s="15">
        <f t="shared" si="4"/>
        <v>2.9968253968253967E-2</v>
      </c>
      <c r="L14" s="16" t="str">
        <f t="shared" si="5"/>
        <v>Valid</v>
      </c>
      <c r="M14" s="16" t="str">
        <f t="shared" si="6"/>
        <v>Valid</v>
      </c>
      <c r="N14" s="17" t="str">
        <f t="shared" si="7"/>
        <v>Stable/Reducing</v>
      </c>
      <c r="O14" s="16">
        <f t="shared" si="8"/>
        <v>10</v>
      </c>
      <c r="P14" s="14">
        <f t="shared" si="10"/>
        <v>7942</v>
      </c>
      <c r="Q14" s="16">
        <f t="shared" si="9"/>
        <v>2918.4580782596145</v>
      </c>
    </row>
    <row r="15" spans="1:17" x14ac:dyDescent="0.3">
      <c r="A15" s="13">
        <v>44965</v>
      </c>
      <c r="B15" s="13" t="str">
        <f t="shared" si="0"/>
        <v>February</v>
      </c>
      <c r="C15" s="13" t="str">
        <f t="shared" si="1"/>
        <v>2023-02</v>
      </c>
      <c r="D15" s="8">
        <v>93</v>
      </c>
      <c r="E15" s="8">
        <v>196</v>
      </c>
      <c r="F15" s="8">
        <v>169</v>
      </c>
      <c r="G15" s="8">
        <v>7915</v>
      </c>
      <c r="H15" s="8">
        <v>317</v>
      </c>
      <c r="I15" s="14">
        <f t="shared" si="2"/>
        <v>8111</v>
      </c>
      <c r="J15" s="14">
        <f t="shared" si="3"/>
        <v>-148</v>
      </c>
      <c r="K15" s="15">
        <f t="shared" si="4"/>
        <v>3.8219701639748489E-3</v>
      </c>
      <c r="L15" s="16" t="str">
        <f t="shared" si="5"/>
        <v>Valid</v>
      </c>
      <c r="M15" s="16" t="str">
        <f t="shared" si="6"/>
        <v>Valid</v>
      </c>
      <c r="N15" s="17" t="str">
        <f t="shared" si="7"/>
        <v>Stable/Reducing</v>
      </c>
      <c r="O15" s="16">
        <f t="shared" si="8"/>
        <v>1.8757396449704142</v>
      </c>
      <c r="P15" s="14">
        <f t="shared" si="10"/>
        <v>7960.7142857142853</v>
      </c>
      <c r="Q15" s="16">
        <f t="shared" si="9"/>
        <v>2918.4580782596145</v>
      </c>
    </row>
    <row r="16" spans="1:17" x14ac:dyDescent="0.3">
      <c r="A16" s="13">
        <v>44966</v>
      </c>
      <c r="B16" s="13" t="str">
        <f t="shared" si="0"/>
        <v>February</v>
      </c>
      <c r="C16" s="13" t="str">
        <f t="shared" si="1"/>
        <v>2023-02</v>
      </c>
      <c r="D16" s="8">
        <v>124</v>
      </c>
      <c r="E16" s="8">
        <v>234</v>
      </c>
      <c r="F16" s="8">
        <v>161</v>
      </c>
      <c r="G16" s="8">
        <v>7908</v>
      </c>
      <c r="H16" s="8">
        <v>353</v>
      </c>
      <c r="I16" s="14">
        <f t="shared" si="2"/>
        <v>8142</v>
      </c>
      <c r="J16" s="14">
        <f t="shared" si="3"/>
        <v>-192</v>
      </c>
      <c r="K16" s="15">
        <f t="shared" si="4"/>
        <v>-6.2024072709408011E-2</v>
      </c>
      <c r="L16" s="16" t="str">
        <f t="shared" si="5"/>
        <v>Valid</v>
      </c>
      <c r="M16" s="16" t="str">
        <f t="shared" si="6"/>
        <v>Valid</v>
      </c>
      <c r="N16" s="17" t="str">
        <f t="shared" si="7"/>
        <v>Stable/Reducing</v>
      </c>
      <c r="O16" s="16">
        <f t="shared" si="8"/>
        <v>2.1925465838509317</v>
      </c>
      <c r="P16" s="14">
        <f t="shared" si="10"/>
        <v>7959.4285714285716</v>
      </c>
      <c r="Q16" s="16">
        <f t="shared" si="9"/>
        <v>2918.4580782596145</v>
      </c>
    </row>
    <row r="17" spans="1:17" x14ac:dyDescent="0.3">
      <c r="A17" s="13">
        <v>44969</v>
      </c>
      <c r="B17" s="13" t="str">
        <f t="shared" si="0"/>
        <v>February</v>
      </c>
      <c r="C17" s="13" t="str">
        <f t="shared" si="1"/>
        <v>2023-02</v>
      </c>
      <c r="D17" s="8">
        <v>92</v>
      </c>
      <c r="E17" s="8">
        <v>203</v>
      </c>
      <c r="F17" s="8">
        <v>173</v>
      </c>
      <c r="G17" s="8">
        <v>7434</v>
      </c>
      <c r="H17" s="8">
        <v>317</v>
      </c>
      <c r="I17" s="14">
        <f t="shared" si="2"/>
        <v>7637</v>
      </c>
      <c r="J17" s="14">
        <f t="shared" si="3"/>
        <v>-144</v>
      </c>
      <c r="K17" s="15">
        <f t="shared" si="4"/>
        <v>1.3748854262144821E-2</v>
      </c>
      <c r="L17" s="16" t="str">
        <f t="shared" si="5"/>
        <v>Valid</v>
      </c>
      <c r="M17" s="16" t="str">
        <f t="shared" si="6"/>
        <v>Valid</v>
      </c>
      <c r="N17" s="17" t="str">
        <f t="shared" si="7"/>
        <v>Stable/Reducing</v>
      </c>
      <c r="O17" s="16">
        <f t="shared" si="8"/>
        <v>1.8323699421965318</v>
      </c>
      <c r="P17" s="14">
        <f t="shared" si="10"/>
        <v>7979.2857142857147</v>
      </c>
      <c r="Q17" s="16">
        <f t="shared" si="9"/>
        <v>2918.4580782596145</v>
      </c>
    </row>
    <row r="18" spans="1:17" x14ac:dyDescent="0.3">
      <c r="A18" s="13">
        <v>44970</v>
      </c>
      <c r="B18" s="13" t="str">
        <f t="shared" si="0"/>
        <v>February</v>
      </c>
      <c r="C18" s="13" t="str">
        <f t="shared" si="1"/>
        <v>2023-02</v>
      </c>
      <c r="D18" s="8">
        <v>186</v>
      </c>
      <c r="E18" s="8">
        <v>259</v>
      </c>
      <c r="F18" s="8">
        <v>172</v>
      </c>
      <c r="G18" s="8">
        <v>7483</v>
      </c>
      <c r="H18" s="8">
        <v>244</v>
      </c>
      <c r="I18" s="14">
        <f t="shared" si="2"/>
        <v>7742</v>
      </c>
      <c r="J18" s="14">
        <f t="shared" si="3"/>
        <v>-72</v>
      </c>
      <c r="K18" s="15">
        <f t="shared" si="4"/>
        <v>3.5778868509429088E-2</v>
      </c>
      <c r="L18" s="16" t="str">
        <f t="shared" si="5"/>
        <v>Valid</v>
      </c>
      <c r="M18" s="16" t="str">
        <f t="shared" si="6"/>
        <v>Valid</v>
      </c>
      <c r="N18" s="17" t="str">
        <f t="shared" si="7"/>
        <v>Stable/Reducing</v>
      </c>
      <c r="O18" s="16">
        <f t="shared" si="8"/>
        <v>1.4186046511627908</v>
      </c>
      <c r="P18" s="14">
        <f t="shared" si="10"/>
        <v>8058.7142857142853</v>
      </c>
      <c r="Q18" s="16">
        <f t="shared" si="9"/>
        <v>2918.4580782596145</v>
      </c>
    </row>
    <row r="19" spans="1:17" x14ac:dyDescent="0.3">
      <c r="A19" s="13">
        <v>44971</v>
      </c>
      <c r="B19" s="13" t="str">
        <f t="shared" si="0"/>
        <v>February</v>
      </c>
      <c r="C19" s="13" t="str">
        <f t="shared" si="1"/>
        <v>2023-02</v>
      </c>
      <c r="D19" s="8">
        <v>154</v>
      </c>
      <c r="E19" s="8">
        <v>225</v>
      </c>
      <c r="F19" s="8">
        <v>220</v>
      </c>
      <c r="G19" s="8">
        <v>7794</v>
      </c>
      <c r="H19" s="8">
        <v>223</v>
      </c>
      <c r="I19" s="14">
        <f t="shared" si="2"/>
        <v>8019</v>
      </c>
      <c r="J19" s="14">
        <f t="shared" si="3"/>
        <v>-3</v>
      </c>
      <c r="K19" s="15">
        <f t="shared" si="4"/>
        <v>6.1104875919690731E-3</v>
      </c>
      <c r="L19" s="16" t="str">
        <f t="shared" si="5"/>
        <v>Valid</v>
      </c>
      <c r="M19" s="16" t="str">
        <f t="shared" si="6"/>
        <v>Valid</v>
      </c>
      <c r="N19" s="17" t="str">
        <f t="shared" si="7"/>
        <v>Stable/Reducing</v>
      </c>
      <c r="O19" s="16">
        <f t="shared" si="8"/>
        <v>1.0136363636363637</v>
      </c>
      <c r="P19" s="14">
        <f t="shared" si="10"/>
        <v>8106.4285714285716</v>
      </c>
      <c r="Q19" s="16">
        <f t="shared" si="9"/>
        <v>2918.4580782596145</v>
      </c>
    </row>
    <row r="20" spans="1:17" x14ac:dyDescent="0.3">
      <c r="A20" s="13">
        <v>44972</v>
      </c>
      <c r="B20" s="13" t="str">
        <f t="shared" si="0"/>
        <v>February</v>
      </c>
      <c r="C20" s="13" t="str">
        <f t="shared" si="1"/>
        <v>2023-02</v>
      </c>
      <c r="D20" s="8">
        <v>91</v>
      </c>
      <c r="E20" s="8">
        <v>199</v>
      </c>
      <c r="F20" s="8">
        <v>172</v>
      </c>
      <c r="G20" s="8">
        <v>7869</v>
      </c>
      <c r="H20" s="8">
        <v>290</v>
      </c>
      <c r="I20" s="14">
        <f t="shared" si="2"/>
        <v>8068</v>
      </c>
      <c r="J20" s="14">
        <f t="shared" si="3"/>
        <v>-118</v>
      </c>
      <c r="K20" s="15">
        <f t="shared" si="4"/>
        <v>-7.6846802181457612E-3</v>
      </c>
      <c r="L20" s="16" t="str">
        <f t="shared" si="5"/>
        <v>Valid</v>
      </c>
      <c r="M20" s="16" t="str">
        <f t="shared" si="6"/>
        <v>Valid</v>
      </c>
      <c r="N20" s="17" t="str">
        <f t="shared" si="7"/>
        <v>Stable/Reducing</v>
      </c>
      <c r="O20" s="16">
        <f t="shared" si="8"/>
        <v>1.6860465116279071</v>
      </c>
      <c r="P20" s="14">
        <f t="shared" si="10"/>
        <v>8075</v>
      </c>
      <c r="Q20" s="16">
        <f t="shared" si="9"/>
        <v>2918.4580782596145</v>
      </c>
    </row>
    <row r="21" spans="1:17" x14ac:dyDescent="0.3">
      <c r="A21" s="13">
        <v>44973</v>
      </c>
      <c r="B21" s="13" t="str">
        <f t="shared" si="0"/>
        <v>February</v>
      </c>
      <c r="C21" s="13" t="str">
        <f t="shared" si="1"/>
        <v>2023-02</v>
      </c>
      <c r="D21" s="8">
        <v>81</v>
      </c>
      <c r="E21" s="8">
        <v>213</v>
      </c>
      <c r="F21" s="8">
        <v>153</v>
      </c>
      <c r="G21" s="8">
        <v>7793</v>
      </c>
      <c r="H21" s="8">
        <v>361</v>
      </c>
      <c r="I21" s="14">
        <f t="shared" si="2"/>
        <v>8006</v>
      </c>
      <c r="J21" s="14">
        <f t="shared" si="3"/>
        <v>-208</v>
      </c>
      <c r="K21" s="15">
        <f t="shared" si="4"/>
        <v>1.1991006744941295E-2</v>
      </c>
      <c r="L21" s="16" t="str">
        <f t="shared" si="5"/>
        <v>Valid</v>
      </c>
      <c r="M21" s="16" t="str">
        <f t="shared" si="6"/>
        <v>Valid</v>
      </c>
      <c r="N21" s="17" t="str">
        <f t="shared" si="7"/>
        <v>Stable/Reducing</v>
      </c>
      <c r="O21" s="16">
        <f t="shared" si="8"/>
        <v>2.3594771241830066</v>
      </c>
      <c r="P21" s="14">
        <f t="shared" si="10"/>
        <v>8070.8571428571431</v>
      </c>
      <c r="Q21" s="16">
        <f t="shared" si="9"/>
        <v>2918.4580782596145</v>
      </c>
    </row>
    <row r="22" spans="1:17" x14ac:dyDescent="0.3">
      <c r="A22" s="13">
        <v>44977</v>
      </c>
      <c r="B22" s="13" t="str">
        <f t="shared" si="0"/>
        <v>February</v>
      </c>
      <c r="C22" s="13" t="str">
        <f t="shared" si="1"/>
        <v>2023-02</v>
      </c>
      <c r="D22" s="8">
        <v>209</v>
      </c>
      <c r="E22" s="8">
        <v>285</v>
      </c>
      <c r="F22" s="8">
        <v>184</v>
      </c>
      <c r="G22" s="8">
        <v>7817</v>
      </c>
      <c r="H22" s="8">
        <v>209</v>
      </c>
      <c r="I22" s="14">
        <f t="shared" si="2"/>
        <v>8102</v>
      </c>
      <c r="J22" s="14">
        <f t="shared" si="3"/>
        <v>-25</v>
      </c>
      <c r="K22" s="15">
        <f t="shared" si="4"/>
        <v>2.209331029375463E-2</v>
      </c>
      <c r="L22" s="16" t="str">
        <f t="shared" si="5"/>
        <v>Valid</v>
      </c>
      <c r="M22" s="16" t="str">
        <f t="shared" si="6"/>
        <v>Valid</v>
      </c>
      <c r="N22" s="17" t="str">
        <f t="shared" si="7"/>
        <v>Stable/Reducing</v>
      </c>
      <c r="O22" s="16">
        <f t="shared" si="8"/>
        <v>1.1358695652173914</v>
      </c>
      <c r="P22" s="14">
        <f t="shared" si="10"/>
        <v>8086</v>
      </c>
      <c r="Q22" s="16">
        <f t="shared" si="9"/>
        <v>2918.4580782596145</v>
      </c>
    </row>
    <row r="23" spans="1:17" x14ac:dyDescent="0.3">
      <c r="A23" s="13">
        <v>44978</v>
      </c>
      <c r="B23" s="13" t="str">
        <f t="shared" si="0"/>
        <v>February</v>
      </c>
      <c r="C23" s="13" t="str">
        <f t="shared" si="1"/>
        <v>2023-02</v>
      </c>
      <c r="D23" s="8">
        <v>184</v>
      </c>
      <c r="E23" s="8">
        <v>314</v>
      </c>
      <c r="F23" s="8">
        <v>217</v>
      </c>
      <c r="G23" s="8">
        <v>7967</v>
      </c>
      <c r="H23" s="8">
        <v>213</v>
      </c>
      <c r="I23" s="14">
        <f t="shared" si="2"/>
        <v>8281</v>
      </c>
      <c r="J23" s="14">
        <f t="shared" si="3"/>
        <v>4</v>
      </c>
      <c r="K23" s="15">
        <f t="shared" si="4"/>
        <v>-1.0626735901461177E-2</v>
      </c>
      <c r="L23" s="16" t="str">
        <f t="shared" si="5"/>
        <v>Valid</v>
      </c>
      <c r="M23" s="16" t="str">
        <f t="shared" si="6"/>
        <v>Valid</v>
      </c>
      <c r="N23" s="17" t="str">
        <f t="shared" si="7"/>
        <v>Increasing Pressure</v>
      </c>
      <c r="O23" s="16">
        <f t="shared" si="8"/>
        <v>0.98156682027649766</v>
      </c>
      <c r="P23" s="14">
        <f t="shared" si="10"/>
        <v>8084</v>
      </c>
      <c r="Q23" s="16">
        <f t="shared" si="9"/>
        <v>2918.4580782596145</v>
      </c>
    </row>
    <row r="24" spans="1:17" x14ac:dyDescent="0.3">
      <c r="A24" s="13">
        <v>44979</v>
      </c>
      <c r="B24" s="13" t="str">
        <f t="shared" si="0"/>
        <v>February</v>
      </c>
      <c r="C24" s="13" t="str">
        <f t="shared" si="1"/>
        <v>2023-02</v>
      </c>
      <c r="D24" s="8">
        <v>107</v>
      </c>
      <c r="E24" s="8">
        <v>215</v>
      </c>
      <c r="F24" s="8">
        <v>230</v>
      </c>
      <c r="G24" s="8">
        <v>7978</v>
      </c>
      <c r="H24" s="8">
        <v>232</v>
      </c>
      <c r="I24" s="14">
        <f t="shared" si="2"/>
        <v>8193</v>
      </c>
      <c r="J24" s="14">
        <f t="shared" si="3"/>
        <v>-2</v>
      </c>
      <c r="K24" s="15">
        <f t="shared" si="4"/>
        <v>-1.4280483339436104E-2</v>
      </c>
      <c r="L24" s="16" t="str">
        <f t="shared" si="5"/>
        <v>Invalid</v>
      </c>
      <c r="M24" s="16" t="str">
        <f t="shared" si="6"/>
        <v>Valid</v>
      </c>
      <c r="N24" s="17" t="str">
        <f t="shared" si="7"/>
        <v>Stable/Reducing</v>
      </c>
      <c r="O24" s="16">
        <f t="shared" si="8"/>
        <v>1.008695652173913</v>
      </c>
      <c r="P24" s="14">
        <f t="shared" si="10"/>
        <v>8057.7142857142853</v>
      </c>
      <c r="Q24" s="16">
        <f t="shared" si="9"/>
        <v>2918.4580782596145</v>
      </c>
    </row>
    <row r="25" spans="1:17" x14ac:dyDescent="0.3">
      <c r="A25" s="13">
        <v>44980</v>
      </c>
      <c r="B25" s="13" t="str">
        <f t="shared" si="0"/>
        <v>February</v>
      </c>
      <c r="C25" s="13" t="str">
        <f t="shared" si="1"/>
        <v>2023-02</v>
      </c>
      <c r="D25" s="8">
        <v>101</v>
      </c>
      <c r="E25" s="8">
        <v>162</v>
      </c>
      <c r="F25" s="8">
        <v>178</v>
      </c>
      <c r="G25" s="8">
        <v>7914</v>
      </c>
      <c r="H25" s="8">
        <v>386</v>
      </c>
      <c r="I25" s="14">
        <f t="shared" si="2"/>
        <v>8076</v>
      </c>
      <c r="J25" s="14">
        <f t="shared" si="3"/>
        <v>-208</v>
      </c>
      <c r="K25" s="15">
        <f t="shared" si="4"/>
        <v>-3.4299157999009414E-2</v>
      </c>
      <c r="L25" s="16" t="str">
        <f t="shared" si="5"/>
        <v>Invalid</v>
      </c>
      <c r="M25" s="16" t="str">
        <f t="shared" si="6"/>
        <v>Valid</v>
      </c>
      <c r="N25" s="17" t="str">
        <f t="shared" si="7"/>
        <v>Stable/Reducing</v>
      </c>
      <c r="O25" s="16">
        <f t="shared" si="8"/>
        <v>2.1685393258426968</v>
      </c>
      <c r="P25" s="14">
        <f t="shared" si="10"/>
        <v>8040.5714285714284</v>
      </c>
      <c r="Q25" s="16">
        <f t="shared" si="9"/>
        <v>2918.4580782596145</v>
      </c>
    </row>
    <row r="26" spans="1:17" x14ac:dyDescent="0.3">
      <c r="A26" s="13">
        <v>44983</v>
      </c>
      <c r="B26" s="13" t="str">
        <f t="shared" si="0"/>
        <v>February</v>
      </c>
      <c r="C26" s="13" t="str">
        <f t="shared" si="1"/>
        <v>2023-02</v>
      </c>
      <c r="D26" s="8">
        <v>99</v>
      </c>
      <c r="E26" s="8">
        <v>190</v>
      </c>
      <c r="F26" s="8">
        <v>176</v>
      </c>
      <c r="G26" s="8">
        <v>7609</v>
      </c>
      <c r="H26" s="8">
        <v>323</v>
      </c>
      <c r="I26" s="14">
        <f t="shared" si="2"/>
        <v>7799</v>
      </c>
      <c r="J26" s="14">
        <f t="shared" si="3"/>
        <v>-147</v>
      </c>
      <c r="K26" s="15">
        <f t="shared" si="4"/>
        <v>3.0773176048211309E-2</v>
      </c>
      <c r="L26" s="16" t="str">
        <f t="shared" si="5"/>
        <v>Valid</v>
      </c>
      <c r="M26" s="16" t="str">
        <f t="shared" si="6"/>
        <v>Valid</v>
      </c>
      <c r="N26" s="17" t="str">
        <f t="shared" si="7"/>
        <v>Stable/Reducing</v>
      </c>
      <c r="O26" s="16">
        <f t="shared" si="8"/>
        <v>1.8352272727272727</v>
      </c>
      <c r="P26" s="14">
        <f t="shared" si="10"/>
        <v>8043</v>
      </c>
      <c r="Q26" s="16">
        <f t="shared" si="9"/>
        <v>2918.4580782596145</v>
      </c>
    </row>
    <row r="27" spans="1:17" x14ac:dyDescent="0.3">
      <c r="A27" s="13">
        <v>44984</v>
      </c>
      <c r="B27" s="13" t="str">
        <f t="shared" si="0"/>
        <v>February</v>
      </c>
      <c r="C27" s="13" t="str">
        <f t="shared" si="1"/>
        <v>2023-02</v>
      </c>
      <c r="D27" s="8">
        <v>167</v>
      </c>
      <c r="E27" s="8">
        <v>239</v>
      </c>
      <c r="F27" s="8">
        <v>166</v>
      </c>
      <c r="G27" s="8">
        <v>7800</v>
      </c>
      <c r="H27" s="8">
        <v>248</v>
      </c>
      <c r="I27" s="14">
        <f t="shared" si="2"/>
        <v>8039</v>
      </c>
      <c r="J27" s="14">
        <f t="shared" si="3"/>
        <v>-82</v>
      </c>
      <c r="K27" s="15">
        <f t="shared" si="4"/>
        <v>9.0807314342579923E-3</v>
      </c>
      <c r="L27" s="16" t="str">
        <f t="shared" si="5"/>
        <v>Valid</v>
      </c>
      <c r="M27" s="16" t="str">
        <f t="shared" si="6"/>
        <v>Valid</v>
      </c>
      <c r="N27" s="17" t="str">
        <f t="shared" si="7"/>
        <v>Stable/Reducing</v>
      </c>
      <c r="O27" s="16">
        <f t="shared" si="8"/>
        <v>1.4939759036144578</v>
      </c>
      <c r="P27" s="14">
        <f t="shared" si="10"/>
        <v>8081.8571428571431</v>
      </c>
      <c r="Q27" s="16">
        <f t="shared" si="9"/>
        <v>2918.4580782596145</v>
      </c>
    </row>
    <row r="28" spans="1:17" x14ac:dyDescent="0.3">
      <c r="A28" s="13">
        <v>44985</v>
      </c>
      <c r="B28" s="13" t="str">
        <f t="shared" si="0"/>
        <v>February</v>
      </c>
      <c r="C28" s="13" t="str">
        <f t="shared" si="1"/>
        <v>2023-02</v>
      </c>
      <c r="D28" s="8">
        <v>115</v>
      </c>
      <c r="E28" s="8">
        <v>216</v>
      </c>
      <c r="F28" s="8">
        <v>169</v>
      </c>
      <c r="G28" s="8">
        <v>7896</v>
      </c>
      <c r="H28" s="8">
        <v>200</v>
      </c>
      <c r="I28" s="14">
        <f t="shared" si="2"/>
        <v>8112</v>
      </c>
      <c r="J28" s="14">
        <f t="shared" si="3"/>
        <v>-31</v>
      </c>
      <c r="K28" s="15">
        <f t="shared" si="4"/>
        <v>-2.9585798816568047E-3</v>
      </c>
      <c r="L28" s="16" t="str">
        <f t="shared" si="5"/>
        <v>Valid</v>
      </c>
      <c r="M28" s="16" t="str">
        <f t="shared" si="6"/>
        <v>Valid</v>
      </c>
      <c r="N28" s="17" t="str">
        <f t="shared" si="7"/>
        <v>Stable/Reducing</v>
      </c>
      <c r="O28" s="16">
        <f t="shared" si="8"/>
        <v>1.1834319526627219</v>
      </c>
      <c r="P28" s="14">
        <f t="shared" si="10"/>
        <v>8047.2857142857147</v>
      </c>
      <c r="Q28" s="16">
        <f t="shared" si="9"/>
        <v>2918.4580782596145</v>
      </c>
    </row>
    <row r="29" spans="1:17" x14ac:dyDescent="0.3">
      <c r="A29" s="13">
        <v>44986</v>
      </c>
      <c r="B29" s="13" t="str">
        <f t="shared" si="0"/>
        <v>March</v>
      </c>
      <c r="C29" s="13" t="str">
        <f t="shared" si="1"/>
        <v>2023-03</v>
      </c>
      <c r="D29" s="8">
        <v>84</v>
      </c>
      <c r="E29" s="8">
        <v>158</v>
      </c>
      <c r="F29" s="8">
        <v>193</v>
      </c>
      <c r="G29" s="8">
        <v>7930</v>
      </c>
      <c r="H29" s="8">
        <v>307</v>
      </c>
      <c r="I29" s="14">
        <f t="shared" si="2"/>
        <v>8088</v>
      </c>
      <c r="J29" s="14">
        <f t="shared" si="3"/>
        <v>-114</v>
      </c>
      <c r="K29" s="15">
        <f t="shared" si="4"/>
        <v>1.112759643916914E-3</v>
      </c>
      <c r="L29" s="16" t="str">
        <f t="shared" si="5"/>
        <v>Invalid</v>
      </c>
      <c r="M29" s="16" t="str">
        <f t="shared" si="6"/>
        <v>Valid</v>
      </c>
      <c r="N29" s="17" t="str">
        <f t="shared" si="7"/>
        <v>Stable/Reducing</v>
      </c>
      <c r="O29" s="16">
        <f t="shared" si="8"/>
        <v>1.5906735751295338</v>
      </c>
      <c r="P29" s="14">
        <f t="shared" si="10"/>
        <v>8043.5714285714284</v>
      </c>
      <c r="Q29" s="16">
        <f t="shared" si="9"/>
        <v>2918.4580782596145</v>
      </c>
    </row>
    <row r="30" spans="1:17" x14ac:dyDescent="0.3">
      <c r="A30" s="13">
        <v>44987</v>
      </c>
      <c r="B30" s="13" t="str">
        <f t="shared" si="0"/>
        <v>March</v>
      </c>
      <c r="C30" s="13" t="str">
        <f t="shared" si="1"/>
        <v>2023-03</v>
      </c>
      <c r="D30" s="8">
        <v>130</v>
      </c>
      <c r="E30" s="8">
        <v>227</v>
      </c>
      <c r="F30" s="8">
        <v>192</v>
      </c>
      <c r="G30" s="8">
        <v>7870</v>
      </c>
      <c r="H30" s="8">
        <v>335</v>
      </c>
      <c r="I30" s="14">
        <f t="shared" si="2"/>
        <v>8097</v>
      </c>
      <c r="J30" s="14">
        <f t="shared" si="3"/>
        <v>-143</v>
      </c>
      <c r="K30" s="15">
        <f t="shared" si="4"/>
        <v>-2.9640607632456465E-3</v>
      </c>
      <c r="L30" s="16" t="str">
        <f t="shared" si="5"/>
        <v>Valid</v>
      </c>
      <c r="M30" s="16" t="str">
        <f t="shared" si="6"/>
        <v>Valid</v>
      </c>
      <c r="N30" s="17" t="str">
        <f t="shared" si="7"/>
        <v>Stable/Reducing</v>
      </c>
      <c r="O30" s="16">
        <f t="shared" si="8"/>
        <v>1.7447916666666667</v>
      </c>
      <c r="P30" s="14">
        <f t="shared" si="10"/>
        <v>8050.2857142857147</v>
      </c>
      <c r="Q30" s="16">
        <f t="shared" si="9"/>
        <v>2918.4580782596145</v>
      </c>
    </row>
    <row r="31" spans="1:17" x14ac:dyDescent="0.3">
      <c r="A31" s="13">
        <v>44992</v>
      </c>
      <c r="B31" s="13" t="str">
        <f t="shared" si="0"/>
        <v>March</v>
      </c>
      <c r="C31" s="13" t="str">
        <f t="shared" si="1"/>
        <v>2023-03</v>
      </c>
      <c r="D31" s="8">
        <v>88</v>
      </c>
      <c r="E31" s="8">
        <v>214</v>
      </c>
      <c r="F31" s="8">
        <v>160</v>
      </c>
      <c r="G31" s="8">
        <v>7859</v>
      </c>
      <c r="H31" s="8">
        <v>259</v>
      </c>
      <c r="I31" s="14">
        <f t="shared" si="2"/>
        <v>8073</v>
      </c>
      <c r="J31" s="14">
        <f t="shared" si="3"/>
        <v>-99</v>
      </c>
      <c r="K31" s="15">
        <f t="shared" si="4"/>
        <v>2.4773937817416077E-3</v>
      </c>
      <c r="L31" s="16" t="str">
        <f t="shared" si="5"/>
        <v>Valid</v>
      </c>
      <c r="M31" s="16" t="str">
        <f t="shared" si="6"/>
        <v>Valid</v>
      </c>
      <c r="N31" s="17" t="str">
        <f t="shared" si="7"/>
        <v>Stable/Reducing</v>
      </c>
      <c r="O31" s="16">
        <f t="shared" si="8"/>
        <v>1.6187499999999999</v>
      </c>
      <c r="P31" s="14">
        <f t="shared" si="10"/>
        <v>8074.8571428571431</v>
      </c>
      <c r="Q31" s="16">
        <f t="shared" si="9"/>
        <v>2918.4580782596145</v>
      </c>
    </row>
    <row r="32" spans="1:17" x14ac:dyDescent="0.3">
      <c r="A32" s="13">
        <v>44993</v>
      </c>
      <c r="B32" s="13" t="str">
        <f t="shared" si="0"/>
        <v>March</v>
      </c>
      <c r="C32" s="13" t="str">
        <f t="shared" si="1"/>
        <v>2023-03</v>
      </c>
      <c r="D32" s="8">
        <v>113</v>
      </c>
      <c r="E32" s="8">
        <v>208</v>
      </c>
      <c r="F32" s="8">
        <v>159</v>
      </c>
      <c r="G32" s="8">
        <v>7885</v>
      </c>
      <c r="H32" s="8">
        <v>291</v>
      </c>
      <c r="I32" s="14">
        <f t="shared" si="2"/>
        <v>8093</v>
      </c>
      <c r="J32" s="14">
        <f t="shared" si="3"/>
        <v>-132</v>
      </c>
      <c r="K32" s="15">
        <f t="shared" si="4"/>
        <v>-2.7183986160879774E-3</v>
      </c>
      <c r="L32" s="16" t="str">
        <f t="shared" si="5"/>
        <v>Valid</v>
      </c>
      <c r="M32" s="16" t="str">
        <f t="shared" si="6"/>
        <v>Valid</v>
      </c>
      <c r="N32" s="17" t="str">
        <f t="shared" si="7"/>
        <v>Stable/Reducing</v>
      </c>
      <c r="O32" s="16">
        <f t="shared" si="8"/>
        <v>1.8301886792452831</v>
      </c>
      <c r="P32" s="14">
        <f t="shared" si="10"/>
        <v>8090</v>
      </c>
      <c r="Q32" s="16">
        <f t="shared" si="9"/>
        <v>2918.4580782596145</v>
      </c>
    </row>
    <row r="33" spans="1:17" x14ac:dyDescent="0.3">
      <c r="A33" s="13">
        <v>44994</v>
      </c>
      <c r="B33" s="13" t="str">
        <f t="shared" si="0"/>
        <v>March</v>
      </c>
      <c r="C33" s="13" t="str">
        <f t="shared" si="1"/>
        <v>2023-03</v>
      </c>
      <c r="D33" s="8">
        <v>174</v>
      </c>
      <c r="E33" s="8">
        <v>285</v>
      </c>
      <c r="F33" s="8">
        <v>150</v>
      </c>
      <c r="G33" s="8">
        <v>7786</v>
      </c>
      <c r="H33" s="8">
        <v>340</v>
      </c>
      <c r="I33" s="14">
        <f t="shared" si="2"/>
        <v>8071</v>
      </c>
      <c r="J33" s="14">
        <f t="shared" si="3"/>
        <v>-190</v>
      </c>
      <c r="K33" s="15">
        <f t="shared" si="4"/>
        <v>-3.3948705240986247E-2</v>
      </c>
      <c r="L33" s="16" t="str">
        <f t="shared" si="5"/>
        <v>Valid</v>
      </c>
      <c r="M33" s="16" t="str">
        <f t="shared" si="6"/>
        <v>Valid</v>
      </c>
      <c r="N33" s="17" t="str">
        <f t="shared" si="7"/>
        <v>Stable/Reducing</v>
      </c>
      <c r="O33" s="16">
        <f t="shared" si="8"/>
        <v>2.2666666666666666</v>
      </c>
      <c r="P33" s="14">
        <f t="shared" si="10"/>
        <v>8111.5714285714284</v>
      </c>
      <c r="Q33" s="16">
        <f t="shared" si="9"/>
        <v>2918.4580782596145</v>
      </c>
    </row>
    <row r="34" spans="1:17" x14ac:dyDescent="0.3">
      <c r="A34" s="13">
        <v>44998</v>
      </c>
      <c r="B34" s="13" t="str">
        <f t="shared" si="0"/>
        <v>March</v>
      </c>
      <c r="C34" s="13" t="str">
        <f t="shared" si="1"/>
        <v>2023-03</v>
      </c>
      <c r="D34" s="8">
        <v>104</v>
      </c>
      <c r="E34" s="8">
        <v>230</v>
      </c>
      <c r="F34" s="8">
        <v>206</v>
      </c>
      <c r="G34" s="8">
        <v>7567</v>
      </c>
      <c r="H34" s="8">
        <v>249</v>
      </c>
      <c r="I34" s="14">
        <f t="shared" si="2"/>
        <v>7797</v>
      </c>
      <c r="J34" s="14">
        <f t="shared" si="3"/>
        <v>-43</v>
      </c>
      <c r="K34" s="15">
        <f t="shared" si="4"/>
        <v>3.7065538027446457E-2</v>
      </c>
      <c r="L34" s="16" t="str">
        <f t="shared" si="5"/>
        <v>Valid</v>
      </c>
      <c r="M34" s="16" t="str">
        <f t="shared" si="6"/>
        <v>Valid</v>
      </c>
      <c r="N34" s="17" t="str">
        <f t="shared" si="7"/>
        <v>Stable/Reducing</v>
      </c>
      <c r="O34" s="16">
        <f t="shared" si="8"/>
        <v>1.2087378640776698</v>
      </c>
      <c r="P34" s="14">
        <f t="shared" si="10"/>
        <v>8147.4285714285716</v>
      </c>
      <c r="Q34" s="16">
        <f t="shared" si="9"/>
        <v>2918.4580782596145</v>
      </c>
    </row>
    <row r="35" spans="1:17" x14ac:dyDescent="0.3">
      <c r="A35" s="13">
        <v>44999</v>
      </c>
      <c r="B35" s="13" t="str">
        <f t="shared" si="0"/>
        <v>March</v>
      </c>
      <c r="C35" s="13" t="str">
        <f t="shared" si="1"/>
        <v>2023-03</v>
      </c>
      <c r="D35" s="8">
        <v>147</v>
      </c>
      <c r="E35" s="8">
        <v>276</v>
      </c>
      <c r="F35" s="8">
        <v>214</v>
      </c>
      <c r="G35" s="8">
        <v>7810</v>
      </c>
      <c r="H35" s="8">
        <v>181</v>
      </c>
      <c r="I35" s="14">
        <f t="shared" si="2"/>
        <v>8086</v>
      </c>
      <c r="J35" s="14">
        <f t="shared" si="3"/>
        <v>33</v>
      </c>
      <c r="K35" s="15">
        <f t="shared" si="4"/>
        <v>6.0598565421716545E-3</v>
      </c>
      <c r="L35" s="16" t="str">
        <f t="shared" si="5"/>
        <v>Valid</v>
      </c>
      <c r="M35" s="16" t="str">
        <f t="shared" si="6"/>
        <v>Valid</v>
      </c>
      <c r="N35" s="17" t="str">
        <f t="shared" si="7"/>
        <v>Increasing Pressure</v>
      </c>
      <c r="O35" s="16">
        <f t="shared" si="8"/>
        <v>0.84579439252336452</v>
      </c>
      <c r="P35" s="14">
        <f t="shared" si="10"/>
        <v>8229.8571428571431</v>
      </c>
      <c r="Q35" s="16">
        <f t="shared" si="9"/>
        <v>2918.4580782596145</v>
      </c>
    </row>
    <row r="36" spans="1:17" x14ac:dyDescent="0.3">
      <c r="A36" s="13">
        <v>45000</v>
      </c>
      <c r="B36" s="13" t="str">
        <f t="shared" si="0"/>
        <v>March</v>
      </c>
      <c r="C36" s="13" t="str">
        <f t="shared" si="1"/>
        <v>2023-03</v>
      </c>
      <c r="D36" s="8">
        <v>108</v>
      </c>
      <c r="E36" s="8">
        <v>220</v>
      </c>
      <c r="F36" s="8">
        <v>213</v>
      </c>
      <c r="G36" s="8">
        <v>7915</v>
      </c>
      <c r="H36" s="8">
        <v>286</v>
      </c>
      <c r="I36" s="14">
        <f t="shared" si="2"/>
        <v>8135</v>
      </c>
      <c r="J36" s="14">
        <f t="shared" si="3"/>
        <v>-73</v>
      </c>
      <c r="K36" s="15">
        <f t="shared" si="4"/>
        <v>1.6472034419176398E-2</v>
      </c>
      <c r="L36" s="16" t="str">
        <f t="shared" si="5"/>
        <v>Valid</v>
      </c>
      <c r="M36" s="16" t="str">
        <f t="shared" si="6"/>
        <v>Valid</v>
      </c>
      <c r="N36" s="17" t="str">
        <f t="shared" si="7"/>
        <v>Stable/Reducing</v>
      </c>
      <c r="O36" s="16">
        <f t="shared" si="8"/>
        <v>1.3427230046948357</v>
      </c>
      <c r="P36" s="14">
        <f t="shared" si="10"/>
        <v>8271.5714285714294</v>
      </c>
      <c r="Q36" s="16">
        <f t="shared" si="9"/>
        <v>2918.4580782596145</v>
      </c>
    </row>
    <row r="37" spans="1:17" x14ac:dyDescent="0.3">
      <c r="A37" s="13">
        <v>45001</v>
      </c>
      <c r="B37" s="13" t="str">
        <f t="shared" si="0"/>
        <v>March</v>
      </c>
      <c r="C37" s="13" t="str">
        <f t="shared" si="1"/>
        <v>2023-03</v>
      </c>
      <c r="D37" s="8">
        <v>180</v>
      </c>
      <c r="E37" s="8">
        <v>280</v>
      </c>
      <c r="F37" s="8">
        <v>146</v>
      </c>
      <c r="G37" s="8">
        <v>7989</v>
      </c>
      <c r="H37" s="8">
        <v>308</v>
      </c>
      <c r="I37" s="14">
        <f t="shared" si="2"/>
        <v>8269</v>
      </c>
      <c r="J37" s="14">
        <f t="shared" si="3"/>
        <v>-162</v>
      </c>
      <c r="K37" s="15">
        <f t="shared" si="4"/>
        <v>-1.0884024670455919E-2</v>
      </c>
      <c r="L37" s="16" t="str">
        <f t="shared" si="5"/>
        <v>Valid</v>
      </c>
      <c r="M37" s="16" t="str">
        <f t="shared" si="6"/>
        <v>Valid</v>
      </c>
      <c r="N37" s="17" t="str">
        <f t="shared" si="7"/>
        <v>Stable/Reducing</v>
      </c>
      <c r="O37" s="16">
        <f t="shared" si="8"/>
        <v>2.1095890410958904</v>
      </c>
      <c r="P37" s="14">
        <f t="shared" si="10"/>
        <v>8265.5714285714294</v>
      </c>
      <c r="Q37" s="16">
        <f t="shared" si="9"/>
        <v>2918.4580782596145</v>
      </c>
    </row>
    <row r="38" spans="1:17" x14ac:dyDescent="0.3">
      <c r="A38" s="13">
        <v>45004</v>
      </c>
      <c r="B38" s="13" t="str">
        <f t="shared" si="0"/>
        <v>March</v>
      </c>
      <c r="C38" s="13" t="str">
        <f t="shared" si="1"/>
        <v>2023-03</v>
      </c>
      <c r="D38" s="8">
        <v>134</v>
      </c>
      <c r="E38" s="8">
        <v>294</v>
      </c>
      <c r="F38" s="8">
        <v>186</v>
      </c>
      <c r="G38" s="8">
        <v>7885</v>
      </c>
      <c r="H38" s="8">
        <v>306</v>
      </c>
      <c r="I38" s="14">
        <f t="shared" si="2"/>
        <v>8179</v>
      </c>
      <c r="J38" s="14">
        <f t="shared" si="3"/>
        <v>-120</v>
      </c>
      <c r="K38" s="15">
        <f t="shared" si="4"/>
        <v>7.9471818070668779E-3</v>
      </c>
      <c r="L38" s="16" t="str">
        <f t="shared" si="5"/>
        <v>Valid</v>
      </c>
      <c r="M38" s="16" t="str">
        <f t="shared" si="6"/>
        <v>Valid</v>
      </c>
      <c r="N38" s="17" t="str">
        <f t="shared" si="7"/>
        <v>Stable/Reducing</v>
      </c>
      <c r="O38" s="16">
        <f t="shared" si="8"/>
        <v>1.6451612903225807</v>
      </c>
      <c r="P38" s="14">
        <f t="shared" si="10"/>
        <v>8250.7142857142862</v>
      </c>
      <c r="Q38" s="16">
        <f t="shared" si="9"/>
        <v>2918.4580782596145</v>
      </c>
    </row>
    <row r="39" spans="1:17" x14ac:dyDescent="0.3">
      <c r="A39" s="13">
        <v>45005</v>
      </c>
      <c r="B39" s="13" t="str">
        <f t="shared" si="0"/>
        <v>March</v>
      </c>
      <c r="C39" s="13" t="str">
        <f t="shared" si="1"/>
        <v>2023-03</v>
      </c>
      <c r="D39" s="8">
        <v>202</v>
      </c>
      <c r="E39" s="8">
        <v>313</v>
      </c>
      <c r="F39" s="8">
        <v>158</v>
      </c>
      <c r="G39" s="8">
        <v>7931</v>
      </c>
      <c r="H39" s="8">
        <v>279</v>
      </c>
      <c r="I39" s="14">
        <f t="shared" si="2"/>
        <v>8244</v>
      </c>
      <c r="J39" s="14">
        <f t="shared" si="3"/>
        <v>-121</v>
      </c>
      <c r="K39" s="15">
        <f t="shared" si="4"/>
        <v>9.4614264919941782E-3</v>
      </c>
      <c r="L39" s="16" t="str">
        <f t="shared" si="5"/>
        <v>Valid</v>
      </c>
      <c r="M39" s="16" t="str">
        <f t="shared" si="6"/>
        <v>Valid</v>
      </c>
      <c r="N39" s="17" t="str">
        <f t="shared" si="7"/>
        <v>Stable/Reducing</v>
      </c>
      <c r="O39" s="16">
        <f t="shared" si="8"/>
        <v>1.7658227848101267</v>
      </c>
      <c r="P39" s="14">
        <f t="shared" si="10"/>
        <v>8266.2857142857138</v>
      </c>
      <c r="Q39" s="16">
        <f t="shared" si="9"/>
        <v>2918.4580782596145</v>
      </c>
    </row>
    <row r="40" spans="1:17" x14ac:dyDescent="0.3">
      <c r="A40" s="13">
        <v>45006</v>
      </c>
      <c r="B40" s="13" t="str">
        <f t="shared" si="0"/>
        <v>March</v>
      </c>
      <c r="C40" s="13" t="str">
        <f t="shared" si="1"/>
        <v>2023-03</v>
      </c>
      <c r="D40" s="8">
        <v>110</v>
      </c>
      <c r="E40" s="8">
        <v>272</v>
      </c>
      <c r="F40" s="8">
        <v>193</v>
      </c>
      <c r="G40" s="8">
        <v>8050</v>
      </c>
      <c r="H40" s="8">
        <v>221</v>
      </c>
      <c r="I40" s="14">
        <f t="shared" si="2"/>
        <v>8322</v>
      </c>
      <c r="J40" s="14">
        <f t="shared" si="3"/>
        <v>-28</v>
      </c>
      <c r="K40" s="15">
        <f t="shared" si="4"/>
        <v>6.2484979572218213E-3</v>
      </c>
      <c r="L40" s="16" t="str">
        <f t="shared" si="5"/>
        <v>Valid</v>
      </c>
      <c r="M40" s="16" t="str">
        <f t="shared" si="6"/>
        <v>Valid</v>
      </c>
      <c r="N40" s="17" t="str">
        <f t="shared" si="7"/>
        <v>Stable/Reducing</v>
      </c>
      <c r="O40" s="16">
        <f t="shared" si="8"/>
        <v>1.145077720207254</v>
      </c>
      <c r="P40" s="14">
        <f t="shared" si="10"/>
        <v>8296.1428571428569</v>
      </c>
      <c r="Q40" s="16">
        <f t="shared" si="9"/>
        <v>2918.4580782596145</v>
      </c>
    </row>
    <row r="41" spans="1:17" x14ac:dyDescent="0.3">
      <c r="A41" s="13">
        <v>45007</v>
      </c>
      <c r="B41" s="13" t="str">
        <f t="shared" si="0"/>
        <v>March</v>
      </c>
      <c r="C41" s="13" t="str">
        <f t="shared" si="1"/>
        <v>2023-03</v>
      </c>
      <c r="D41" s="8">
        <v>166</v>
      </c>
      <c r="E41" s="8">
        <v>277</v>
      </c>
      <c r="F41" s="8">
        <v>229</v>
      </c>
      <c r="G41" s="8">
        <v>8097</v>
      </c>
      <c r="H41" s="8">
        <v>246</v>
      </c>
      <c r="I41" s="14">
        <f t="shared" si="2"/>
        <v>8374</v>
      </c>
      <c r="J41" s="14">
        <f t="shared" si="3"/>
        <v>-17</v>
      </c>
      <c r="K41" s="15">
        <f t="shared" si="4"/>
        <v>4.7766897540004778E-4</v>
      </c>
      <c r="L41" s="16" t="str">
        <f t="shared" si="5"/>
        <v>Valid</v>
      </c>
      <c r="M41" s="16" t="str">
        <f t="shared" si="6"/>
        <v>Valid</v>
      </c>
      <c r="N41" s="17" t="str">
        <f t="shared" si="7"/>
        <v>Stable/Reducing</v>
      </c>
      <c r="O41" s="16">
        <f t="shared" si="8"/>
        <v>1.0742358078602621</v>
      </c>
      <c r="P41" s="14">
        <f t="shared" si="10"/>
        <v>8309.2857142857138</v>
      </c>
      <c r="Q41" s="16">
        <f t="shared" si="9"/>
        <v>2918.4580782596145</v>
      </c>
    </row>
    <row r="42" spans="1:17" x14ac:dyDescent="0.3">
      <c r="A42" s="13">
        <v>45008</v>
      </c>
      <c r="B42" s="13" t="str">
        <f t="shared" si="0"/>
        <v>March</v>
      </c>
      <c r="C42" s="13" t="str">
        <f t="shared" si="1"/>
        <v>2023-03</v>
      </c>
      <c r="D42" s="8">
        <v>136</v>
      </c>
      <c r="E42" s="8">
        <v>276</v>
      </c>
      <c r="F42" s="8">
        <v>178</v>
      </c>
      <c r="G42" s="8">
        <v>8102</v>
      </c>
      <c r="H42" s="8">
        <v>331</v>
      </c>
      <c r="I42" s="14">
        <f t="shared" si="2"/>
        <v>8378</v>
      </c>
      <c r="J42" s="14">
        <f t="shared" si="3"/>
        <v>-153</v>
      </c>
      <c r="K42" s="15">
        <f t="shared" si="4"/>
        <v>-3.4017665313917402E-2</v>
      </c>
      <c r="L42" s="16" t="str">
        <f t="shared" si="5"/>
        <v>Valid</v>
      </c>
      <c r="M42" s="16" t="str">
        <f t="shared" si="6"/>
        <v>Valid</v>
      </c>
      <c r="N42" s="17" t="str">
        <f t="shared" si="7"/>
        <v>Stable/Reducing</v>
      </c>
      <c r="O42" s="16">
        <f t="shared" si="8"/>
        <v>1.8595505617977528</v>
      </c>
      <c r="P42" s="14">
        <f t="shared" si="10"/>
        <v>8286.2857142857138</v>
      </c>
      <c r="Q42" s="16">
        <f t="shared" si="9"/>
        <v>2918.4580782596145</v>
      </c>
    </row>
    <row r="43" spans="1:17" x14ac:dyDescent="0.3">
      <c r="A43" s="13">
        <v>45011</v>
      </c>
      <c r="B43" s="13" t="str">
        <f t="shared" si="0"/>
        <v>March</v>
      </c>
      <c r="C43" s="13" t="str">
        <f t="shared" si="1"/>
        <v>2023-03</v>
      </c>
      <c r="D43" s="8">
        <v>87</v>
      </c>
      <c r="E43" s="8">
        <v>246</v>
      </c>
      <c r="F43" s="8">
        <v>173</v>
      </c>
      <c r="G43" s="8">
        <v>7847</v>
      </c>
      <c r="H43" s="8">
        <v>352</v>
      </c>
      <c r="I43" s="14">
        <f t="shared" si="2"/>
        <v>8093</v>
      </c>
      <c r="J43" s="14">
        <f t="shared" si="3"/>
        <v>-179</v>
      </c>
      <c r="K43" s="15">
        <f t="shared" si="4"/>
        <v>8.8965772890151982E-3</v>
      </c>
      <c r="L43" s="16" t="str">
        <f t="shared" si="5"/>
        <v>Valid</v>
      </c>
      <c r="M43" s="16" t="str">
        <f t="shared" si="6"/>
        <v>Valid</v>
      </c>
      <c r="N43" s="17" t="str">
        <f t="shared" si="7"/>
        <v>Stable/Reducing</v>
      </c>
      <c r="O43" s="16">
        <f t="shared" si="8"/>
        <v>2.0346820809248554</v>
      </c>
      <c r="P43" s="14">
        <f t="shared" si="10"/>
        <v>8259.8571428571431</v>
      </c>
      <c r="Q43" s="16">
        <f t="shared" si="9"/>
        <v>2918.4580782596145</v>
      </c>
    </row>
    <row r="44" spans="1:17" x14ac:dyDescent="0.3">
      <c r="A44" s="13">
        <v>45012</v>
      </c>
      <c r="B44" s="13" t="str">
        <f t="shared" si="0"/>
        <v>March</v>
      </c>
      <c r="C44" s="13" t="str">
        <f t="shared" si="1"/>
        <v>2023-03</v>
      </c>
      <c r="D44" s="8">
        <v>84</v>
      </c>
      <c r="E44" s="8">
        <v>171</v>
      </c>
      <c r="F44" s="8">
        <v>157</v>
      </c>
      <c r="G44" s="8">
        <v>7994</v>
      </c>
      <c r="H44" s="8">
        <v>235</v>
      </c>
      <c r="I44" s="14">
        <f t="shared" si="2"/>
        <v>8165</v>
      </c>
      <c r="J44" s="14">
        <f t="shared" si="3"/>
        <v>-78</v>
      </c>
      <c r="K44" s="15">
        <f t="shared" si="4"/>
        <v>1.5064298836497245E-2</v>
      </c>
      <c r="L44" s="16" t="str">
        <f t="shared" si="5"/>
        <v>Valid</v>
      </c>
      <c r="M44" s="16" t="str">
        <f t="shared" si="6"/>
        <v>Valid</v>
      </c>
      <c r="N44" s="17" t="str">
        <f t="shared" si="7"/>
        <v>Stable/Reducing</v>
      </c>
      <c r="O44" s="16">
        <f t="shared" si="8"/>
        <v>1.4968152866242037</v>
      </c>
      <c r="P44" s="14">
        <f t="shared" si="10"/>
        <v>8289.8571428571431</v>
      </c>
      <c r="Q44" s="16">
        <f t="shared" si="9"/>
        <v>2918.4580782596145</v>
      </c>
    </row>
    <row r="45" spans="1:17" x14ac:dyDescent="0.3">
      <c r="A45" s="13">
        <v>45013</v>
      </c>
      <c r="B45" s="13" t="str">
        <f t="shared" si="0"/>
        <v>March</v>
      </c>
      <c r="C45" s="13" t="str">
        <f t="shared" si="1"/>
        <v>2023-03</v>
      </c>
      <c r="D45" s="8">
        <v>167</v>
      </c>
      <c r="E45" s="8">
        <v>209</v>
      </c>
      <c r="F45" s="8">
        <v>157</v>
      </c>
      <c r="G45" s="8">
        <v>8079</v>
      </c>
      <c r="H45" s="8">
        <v>223</v>
      </c>
      <c r="I45" s="14">
        <f t="shared" si="2"/>
        <v>8288</v>
      </c>
      <c r="J45" s="14">
        <f t="shared" si="3"/>
        <v>-66</v>
      </c>
      <c r="K45" s="15">
        <f t="shared" si="4"/>
        <v>1.9908301158301157E-2</v>
      </c>
      <c r="L45" s="16" t="str">
        <f t="shared" si="5"/>
        <v>Valid</v>
      </c>
      <c r="M45" s="16" t="str">
        <f t="shared" si="6"/>
        <v>Valid</v>
      </c>
      <c r="N45" s="17" t="str">
        <f t="shared" si="7"/>
        <v>Stable/Reducing</v>
      </c>
      <c r="O45" s="16">
        <f t="shared" si="8"/>
        <v>1.4203821656050954</v>
      </c>
      <c r="P45" s="14">
        <f t="shared" si="10"/>
        <v>8326.2857142857138</v>
      </c>
      <c r="Q45" s="16">
        <f t="shared" si="9"/>
        <v>2918.4580782596145</v>
      </c>
    </row>
    <row r="46" spans="1:17" x14ac:dyDescent="0.3">
      <c r="A46" s="13">
        <v>45014</v>
      </c>
      <c r="B46" s="13" t="str">
        <f t="shared" si="0"/>
        <v>March</v>
      </c>
      <c r="C46" s="13" t="str">
        <f t="shared" si="1"/>
        <v>2023-03</v>
      </c>
      <c r="D46" s="8">
        <v>109</v>
      </c>
      <c r="E46" s="8">
        <v>245</v>
      </c>
      <c r="F46" s="8">
        <v>159</v>
      </c>
      <c r="G46" s="8">
        <v>8208</v>
      </c>
      <c r="H46" s="8">
        <v>267</v>
      </c>
      <c r="I46" s="14">
        <f t="shared" si="2"/>
        <v>8453</v>
      </c>
      <c r="J46" s="14">
        <f t="shared" si="3"/>
        <v>-108</v>
      </c>
      <c r="K46" s="15">
        <f t="shared" si="4"/>
        <v>-4.6137465988406482E-3</v>
      </c>
      <c r="L46" s="16" t="str">
        <f t="shared" si="5"/>
        <v>Valid</v>
      </c>
      <c r="M46" s="16" t="str">
        <f t="shared" si="6"/>
        <v>Valid</v>
      </c>
      <c r="N46" s="17" t="str">
        <f t="shared" si="7"/>
        <v>Stable/Reducing</v>
      </c>
      <c r="O46" s="16">
        <f t="shared" si="8"/>
        <v>1.679245283018868</v>
      </c>
      <c r="P46" s="14">
        <f t="shared" si="10"/>
        <v>8341.8571428571431</v>
      </c>
      <c r="Q46" s="16">
        <f t="shared" si="9"/>
        <v>2918.4580782596145</v>
      </c>
    </row>
    <row r="47" spans="1:17" x14ac:dyDescent="0.3">
      <c r="A47" s="13">
        <v>45015</v>
      </c>
      <c r="B47" s="13" t="str">
        <f t="shared" si="0"/>
        <v>March</v>
      </c>
      <c r="C47" s="13" t="str">
        <f t="shared" si="1"/>
        <v>2023-03</v>
      </c>
      <c r="D47" s="8">
        <v>156</v>
      </c>
      <c r="E47" s="8">
        <v>256</v>
      </c>
      <c r="F47" s="8">
        <v>176</v>
      </c>
      <c r="G47" s="8">
        <v>8158</v>
      </c>
      <c r="H47" s="8">
        <v>359</v>
      </c>
      <c r="I47" s="14">
        <f t="shared" si="2"/>
        <v>8414</v>
      </c>
      <c r="J47" s="14">
        <f t="shared" si="3"/>
        <v>-183</v>
      </c>
      <c r="K47" s="15">
        <f t="shared" si="4"/>
        <v>-2.3888756833848349E-2</v>
      </c>
      <c r="L47" s="16" t="str">
        <f t="shared" si="5"/>
        <v>Valid</v>
      </c>
      <c r="M47" s="16" t="str">
        <f t="shared" si="6"/>
        <v>Valid</v>
      </c>
      <c r="N47" s="17" t="str">
        <f t="shared" si="7"/>
        <v>Stable/Reducing</v>
      </c>
      <c r="O47" s="16">
        <f t="shared" si="8"/>
        <v>2.0397727272727271</v>
      </c>
      <c r="P47" s="14">
        <f t="shared" si="10"/>
        <v>8292.8571428571431</v>
      </c>
      <c r="Q47" s="16">
        <f t="shared" si="9"/>
        <v>2918.4580782596145</v>
      </c>
    </row>
    <row r="48" spans="1:17" x14ac:dyDescent="0.3">
      <c r="A48" s="13">
        <v>45018</v>
      </c>
      <c r="B48" s="13" t="str">
        <f t="shared" si="0"/>
        <v>April</v>
      </c>
      <c r="C48" s="13" t="str">
        <f t="shared" si="1"/>
        <v>2023-04</v>
      </c>
      <c r="D48" s="8">
        <v>125</v>
      </c>
      <c r="E48" s="8">
        <v>232</v>
      </c>
      <c r="F48" s="8">
        <v>192</v>
      </c>
      <c r="G48" s="8">
        <v>7981</v>
      </c>
      <c r="H48" s="8">
        <v>304</v>
      </c>
      <c r="I48" s="14">
        <f t="shared" si="2"/>
        <v>8213</v>
      </c>
      <c r="J48" s="14">
        <f t="shared" si="3"/>
        <v>-112</v>
      </c>
      <c r="K48" s="15">
        <f t="shared" si="4"/>
        <v>-2.4351637647631805E-3</v>
      </c>
      <c r="L48" s="16" t="str">
        <f t="shared" si="5"/>
        <v>Valid</v>
      </c>
      <c r="M48" s="16" t="str">
        <f t="shared" si="6"/>
        <v>Valid</v>
      </c>
      <c r="N48" s="17" t="str">
        <f t="shared" si="7"/>
        <v>Stable/Reducing</v>
      </c>
      <c r="O48" s="16">
        <f t="shared" si="8"/>
        <v>1.5833333333333333</v>
      </c>
      <c r="P48" s="14">
        <f t="shared" si="10"/>
        <v>8237.8571428571431</v>
      </c>
      <c r="Q48" s="16">
        <f t="shared" si="9"/>
        <v>2918.4580782596145</v>
      </c>
    </row>
    <row r="49" spans="1:17" x14ac:dyDescent="0.3">
      <c r="A49" s="13">
        <v>45019</v>
      </c>
      <c r="B49" s="13" t="str">
        <f t="shared" si="0"/>
        <v>April</v>
      </c>
      <c r="C49" s="13" t="str">
        <f t="shared" si="1"/>
        <v>2023-04</v>
      </c>
      <c r="D49" s="8">
        <v>118</v>
      </c>
      <c r="E49" s="8">
        <v>139</v>
      </c>
      <c r="F49" s="8">
        <v>168</v>
      </c>
      <c r="G49" s="8">
        <v>8054</v>
      </c>
      <c r="H49" s="8">
        <v>284</v>
      </c>
      <c r="I49" s="14">
        <f t="shared" si="2"/>
        <v>8193</v>
      </c>
      <c r="J49" s="14">
        <f t="shared" si="3"/>
        <v>-116</v>
      </c>
      <c r="K49" s="15">
        <f t="shared" si="4"/>
        <v>1.342609544733309E-2</v>
      </c>
      <c r="L49" s="16" t="str">
        <f t="shared" si="5"/>
        <v>Invalid</v>
      </c>
      <c r="M49" s="16" t="str">
        <f t="shared" si="6"/>
        <v>Valid</v>
      </c>
      <c r="N49" s="17" t="str">
        <f t="shared" si="7"/>
        <v>Stable/Reducing</v>
      </c>
      <c r="O49" s="16">
        <f t="shared" si="8"/>
        <v>1.6904761904761905</v>
      </c>
      <c r="P49" s="14">
        <f t="shared" si="10"/>
        <v>8226.1428571428569</v>
      </c>
      <c r="Q49" s="16">
        <f t="shared" si="9"/>
        <v>2918.4580782596145</v>
      </c>
    </row>
    <row r="50" spans="1:17" x14ac:dyDescent="0.3">
      <c r="A50" s="13">
        <v>45020</v>
      </c>
      <c r="B50" s="13" t="str">
        <f t="shared" si="0"/>
        <v>April</v>
      </c>
      <c r="C50" s="13" t="str">
        <f t="shared" si="1"/>
        <v>2023-04</v>
      </c>
      <c r="D50" s="8">
        <v>142</v>
      </c>
      <c r="E50" s="8">
        <v>235</v>
      </c>
      <c r="F50" s="8">
        <v>139</v>
      </c>
      <c r="G50" s="8">
        <v>8068</v>
      </c>
      <c r="H50" s="8">
        <v>259</v>
      </c>
      <c r="I50" s="14">
        <f t="shared" si="2"/>
        <v>8303</v>
      </c>
      <c r="J50" s="14">
        <f t="shared" si="3"/>
        <v>-120</v>
      </c>
      <c r="K50" s="15">
        <f t="shared" si="4"/>
        <v>1.4091292303986511E-2</v>
      </c>
      <c r="L50" s="16" t="str">
        <f t="shared" si="5"/>
        <v>Valid</v>
      </c>
      <c r="M50" s="16" t="str">
        <f t="shared" si="6"/>
        <v>Valid</v>
      </c>
      <c r="N50" s="17" t="str">
        <f t="shared" si="7"/>
        <v>Stable/Reducing</v>
      </c>
      <c r="O50" s="16">
        <f t="shared" si="8"/>
        <v>1.8633093525179856</v>
      </c>
      <c r="P50" s="14">
        <f t="shared" si="10"/>
        <v>8211.1428571428569</v>
      </c>
      <c r="Q50" s="16">
        <f t="shared" si="9"/>
        <v>2918.4580782596145</v>
      </c>
    </row>
    <row r="51" spans="1:17" x14ac:dyDescent="0.3">
      <c r="A51" s="13">
        <v>45021</v>
      </c>
      <c r="B51" s="13" t="str">
        <f t="shared" si="0"/>
        <v>April</v>
      </c>
      <c r="C51" s="13" t="str">
        <f t="shared" si="1"/>
        <v>2023-04</v>
      </c>
      <c r="D51" s="8">
        <v>148</v>
      </c>
      <c r="E51" s="8">
        <v>245</v>
      </c>
      <c r="F51" s="8">
        <v>175</v>
      </c>
      <c r="G51" s="8">
        <v>8175</v>
      </c>
      <c r="H51" s="8">
        <v>260</v>
      </c>
      <c r="I51" s="14">
        <f t="shared" si="2"/>
        <v>8420</v>
      </c>
      <c r="J51" s="14">
        <f t="shared" si="3"/>
        <v>-85</v>
      </c>
      <c r="K51" s="15">
        <f t="shared" si="4"/>
        <v>-2.7315914489311165E-3</v>
      </c>
      <c r="L51" s="16" t="str">
        <f t="shared" si="5"/>
        <v>Valid</v>
      </c>
      <c r="M51" s="16" t="str">
        <f t="shared" si="6"/>
        <v>Valid</v>
      </c>
      <c r="N51" s="17" t="str">
        <f t="shared" si="7"/>
        <v>Stable/Reducing</v>
      </c>
      <c r="O51" s="16">
        <f t="shared" si="8"/>
        <v>1.4857142857142858</v>
      </c>
      <c r="P51" s="14">
        <f t="shared" si="10"/>
        <v>8169.1428571428569</v>
      </c>
      <c r="Q51" s="16">
        <f t="shared" si="9"/>
        <v>2918.4580782596145</v>
      </c>
    </row>
    <row r="52" spans="1:17" x14ac:dyDescent="0.3">
      <c r="A52" s="13">
        <v>45022</v>
      </c>
      <c r="B52" s="13" t="str">
        <f t="shared" si="0"/>
        <v>April</v>
      </c>
      <c r="C52" s="13" t="str">
        <f t="shared" si="1"/>
        <v>2023-04</v>
      </c>
      <c r="D52" s="8">
        <v>119</v>
      </c>
      <c r="E52" s="8">
        <v>219</v>
      </c>
      <c r="F52" s="8">
        <v>210</v>
      </c>
      <c r="G52" s="8">
        <v>8178</v>
      </c>
      <c r="H52" s="8">
        <v>284</v>
      </c>
      <c r="I52" s="14">
        <f t="shared" si="2"/>
        <v>8397</v>
      </c>
      <c r="J52" s="14">
        <f t="shared" si="3"/>
        <v>-74</v>
      </c>
      <c r="K52" s="15">
        <f t="shared" si="4"/>
        <v>-3.4178873407169227E-2</v>
      </c>
      <c r="L52" s="16" t="str">
        <f t="shared" si="5"/>
        <v>Valid</v>
      </c>
      <c r="M52" s="16" t="str">
        <f t="shared" si="6"/>
        <v>Valid</v>
      </c>
      <c r="N52" s="17" t="str">
        <f t="shared" si="7"/>
        <v>Stable/Reducing</v>
      </c>
      <c r="O52" s="16">
        <f t="shared" si="8"/>
        <v>1.3523809523809525</v>
      </c>
      <c r="P52" s="14">
        <f t="shared" si="10"/>
        <v>8061</v>
      </c>
      <c r="Q52" s="16">
        <f t="shared" si="9"/>
        <v>2918.4580782596145</v>
      </c>
    </row>
    <row r="53" spans="1:17" x14ac:dyDescent="0.3">
      <c r="A53" s="13">
        <v>45025</v>
      </c>
      <c r="B53" s="13" t="str">
        <f t="shared" si="0"/>
        <v>April</v>
      </c>
      <c r="C53" s="13" t="str">
        <f t="shared" si="1"/>
        <v>2023-04</v>
      </c>
      <c r="D53" s="8">
        <v>105</v>
      </c>
      <c r="E53" s="8">
        <v>210</v>
      </c>
      <c r="F53" s="8">
        <v>149</v>
      </c>
      <c r="G53" s="8">
        <v>7900</v>
      </c>
      <c r="H53" s="8">
        <v>329</v>
      </c>
      <c r="I53" s="14">
        <f t="shared" si="2"/>
        <v>8110</v>
      </c>
      <c r="J53" s="14">
        <f t="shared" si="3"/>
        <v>-180</v>
      </c>
      <c r="K53" s="15">
        <f t="shared" si="4"/>
        <v>-9.9876695437731196E-3</v>
      </c>
      <c r="L53" s="16" t="str">
        <f t="shared" si="5"/>
        <v>Valid</v>
      </c>
      <c r="M53" s="16" t="str">
        <f t="shared" si="6"/>
        <v>Valid</v>
      </c>
      <c r="N53" s="17" t="str">
        <f t="shared" si="7"/>
        <v>Stable/Reducing</v>
      </c>
      <c r="O53" s="16">
        <f t="shared" si="8"/>
        <v>2.2080536912751678</v>
      </c>
      <c r="P53" s="14">
        <f t="shared" si="10"/>
        <v>7953</v>
      </c>
      <c r="Q53" s="16">
        <f t="shared" si="9"/>
        <v>2918.4580782596145</v>
      </c>
    </row>
    <row r="54" spans="1:17" x14ac:dyDescent="0.3">
      <c r="A54" s="13">
        <v>45026</v>
      </c>
      <c r="B54" s="13" t="str">
        <f t="shared" si="0"/>
        <v>April</v>
      </c>
      <c r="C54" s="13" t="str">
        <f t="shared" si="1"/>
        <v>2023-04</v>
      </c>
      <c r="D54" s="8">
        <v>143</v>
      </c>
      <c r="E54" s="8">
        <v>203</v>
      </c>
      <c r="F54" s="8">
        <v>163</v>
      </c>
      <c r="G54" s="8">
        <v>7826</v>
      </c>
      <c r="H54" s="8">
        <v>265</v>
      </c>
      <c r="I54" s="14">
        <f t="shared" si="2"/>
        <v>8029</v>
      </c>
      <c r="J54" s="14">
        <f t="shared" si="3"/>
        <v>-102</v>
      </c>
      <c r="K54" s="15">
        <f t="shared" si="4"/>
        <v>1.2703948187819156E-2</v>
      </c>
      <c r="L54" s="16" t="str">
        <f t="shared" si="5"/>
        <v>Valid</v>
      </c>
      <c r="M54" s="16" t="str">
        <f t="shared" si="6"/>
        <v>Valid</v>
      </c>
      <c r="N54" s="17" t="str">
        <f t="shared" si="7"/>
        <v>Stable/Reducing</v>
      </c>
      <c r="O54" s="16">
        <f t="shared" si="8"/>
        <v>1.6257668711656441</v>
      </c>
      <c r="P54" s="14">
        <f t="shared" si="10"/>
        <v>7887</v>
      </c>
      <c r="Q54" s="16">
        <f t="shared" si="9"/>
        <v>2918.4580782596145</v>
      </c>
    </row>
    <row r="55" spans="1:17" x14ac:dyDescent="0.3">
      <c r="A55" s="13">
        <v>45027</v>
      </c>
      <c r="B55" s="13" t="str">
        <f t="shared" si="0"/>
        <v>April</v>
      </c>
      <c r="C55" s="13" t="str">
        <f t="shared" si="1"/>
        <v>2023-04</v>
      </c>
      <c r="D55" s="8">
        <v>119</v>
      </c>
      <c r="E55" s="8">
        <v>209</v>
      </c>
      <c r="F55" s="8">
        <v>152</v>
      </c>
      <c r="G55" s="8">
        <v>7922</v>
      </c>
      <c r="H55" s="8">
        <v>187</v>
      </c>
      <c r="I55" s="14">
        <f t="shared" si="2"/>
        <v>8131</v>
      </c>
      <c r="J55" s="14">
        <f t="shared" si="3"/>
        <v>-35</v>
      </c>
      <c r="K55" s="15">
        <f t="shared" si="4"/>
        <v>-5.2884024105276104E-3</v>
      </c>
      <c r="L55" s="16" t="str">
        <f t="shared" si="5"/>
        <v>Valid</v>
      </c>
      <c r="M55" s="16" t="str">
        <f t="shared" si="6"/>
        <v>Valid</v>
      </c>
      <c r="N55" s="17" t="str">
        <f t="shared" si="7"/>
        <v>Stable/Reducing</v>
      </c>
      <c r="O55" s="16">
        <f t="shared" si="8"/>
        <v>1.2302631578947369</v>
      </c>
      <c r="P55" s="14">
        <f t="shared" si="10"/>
        <v>7843.2857142857147</v>
      </c>
      <c r="Q55" s="16">
        <f t="shared" si="9"/>
        <v>2918.4580782596145</v>
      </c>
    </row>
    <row r="56" spans="1:17" x14ac:dyDescent="0.3">
      <c r="A56" s="13">
        <v>45028</v>
      </c>
      <c r="B56" s="13" t="str">
        <f t="shared" si="0"/>
        <v>April</v>
      </c>
      <c r="C56" s="13" t="str">
        <f t="shared" si="1"/>
        <v>2023-04</v>
      </c>
      <c r="D56" s="8">
        <v>155</v>
      </c>
      <c r="E56" s="8">
        <v>212</v>
      </c>
      <c r="F56" s="8">
        <v>181</v>
      </c>
      <c r="G56" s="8">
        <v>7876</v>
      </c>
      <c r="H56" s="8">
        <v>283</v>
      </c>
      <c r="I56" s="14">
        <f t="shared" si="2"/>
        <v>8088</v>
      </c>
      <c r="J56" s="14">
        <f t="shared" si="3"/>
        <v>-102</v>
      </c>
      <c r="K56" s="15">
        <f t="shared" si="4"/>
        <v>-9.7675568743817998E-3</v>
      </c>
      <c r="L56" s="16" t="str">
        <f t="shared" si="5"/>
        <v>Valid</v>
      </c>
      <c r="M56" s="16" t="str">
        <f t="shared" si="6"/>
        <v>Valid</v>
      </c>
      <c r="N56" s="17" t="str">
        <f t="shared" si="7"/>
        <v>Stable/Reducing</v>
      </c>
      <c r="O56" s="16">
        <f t="shared" si="8"/>
        <v>1.5635359116022098</v>
      </c>
      <c r="P56" s="14">
        <f t="shared" si="10"/>
        <v>7791.7142857142853</v>
      </c>
      <c r="Q56" s="16">
        <f t="shared" si="9"/>
        <v>2918.4580782596145</v>
      </c>
    </row>
    <row r="57" spans="1:17" x14ac:dyDescent="0.3">
      <c r="A57" s="13">
        <v>45029</v>
      </c>
      <c r="B57" s="13" t="str">
        <f t="shared" si="0"/>
        <v>April</v>
      </c>
      <c r="C57" s="13" t="str">
        <f t="shared" si="1"/>
        <v>2023-04</v>
      </c>
      <c r="D57" s="8">
        <v>109</v>
      </c>
      <c r="E57" s="8">
        <v>214</v>
      </c>
      <c r="F57" s="8">
        <v>173</v>
      </c>
      <c r="G57" s="8">
        <v>7795</v>
      </c>
      <c r="H57" s="8">
        <v>370</v>
      </c>
      <c r="I57" s="14">
        <f t="shared" si="2"/>
        <v>8009</v>
      </c>
      <c r="J57" s="14">
        <f t="shared" si="3"/>
        <v>-197</v>
      </c>
      <c r="K57" s="15">
        <f t="shared" si="4"/>
        <v>-4.3201398426769885E-2</v>
      </c>
      <c r="L57" s="16" t="str">
        <f t="shared" si="5"/>
        <v>Valid</v>
      </c>
      <c r="M57" s="16" t="str">
        <f t="shared" si="6"/>
        <v>Valid</v>
      </c>
      <c r="N57" s="17" t="str">
        <f t="shared" si="7"/>
        <v>Stable/Reducing</v>
      </c>
      <c r="O57" s="16">
        <f t="shared" si="8"/>
        <v>2.1387283236994219</v>
      </c>
      <c r="P57" s="14">
        <f t="shared" si="10"/>
        <v>7756.2857142857147</v>
      </c>
      <c r="Q57" s="16">
        <f t="shared" si="9"/>
        <v>2918.4580782596145</v>
      </c>
    </row>
    <row r="58" spans="1:17" x14ac:dyDescent="0.3">
      <c r="A58" s="13">
        <v>45032</v>
      </c>
      <c r="B58" s="13" t="str">
        <f t="shared" si="0"/>
        <v>April</v>
      </c>
      <c r="C58" s="13" t="str">
        <f t="shared" si="1"/>
        <v>2023-04</v>
      </c>
      <c r="D58" s="8">
        <v>191</v>
      </c>
      <c r="E58" s="8">
        <v>283</v>
      </c>
      <c r="F58" s="8">
        <v>192</v>
      </c>
      <c r="G58" s="8">
        <v>7380</v>
      </c>
      <c r="H58" s="8">
        <v>272</v>
      </c>
      <c r="I58" s="14">
        <f t="shared" si="2"/>
        <v>7663</v>
      </c>
      <c r="J58" s="14">
        <f t="shared" si="3"/>
        <v>-80</v>
      </c>
      <c r="K58" s="15">
        <f t="shared" si="4"/>
        <v>-2.8709382748270912E-3</v>
      </c>
      <c r="L58" s="16" t="str">
        <f t="shared" si="5"/>
        <v>Valid</v>
      </c>
      <c r="M58" s="16" t="str">
        <f t="shared" si="6"/>
        <v>Valid</v>
      </c>
      <c r="N58" s="17" t="str">
        <f t="shared" si="7"/>
        <v>Stable/Reducing</v>
      </c>
      <c r="O58" s="16">
        <f t="shared" si="8"/>
        <v>1.4166666666666667</v>
      </c>
      <c r="P58" s="14">
        <f t="shared" si="10"/>
        <v>7773</v>
      </c>
      <c r="Q58" s="16">
        <f t="shared" si="9"/>
        <v>2918.4580782596145</v>
      </c>
    </row>
    <row r="59" spans="1:17" x14ac:dyDescent="0.3">
      <c r="A59" s="13">
        <v>45033</v>
      </c>
      <c r="B59" s="13" t="str">
        <f t="shared" si="0"/>
        <v>April</v>
      </c>
      <c r="C59" s="13" t="str">
        <f t="shared" si="1"/>
        <v>2023-04</v>
      </c>
      <c r="D59" s="8">
        <v>170</v>
      </c>
      <c r="E59" s="8">
        <v>297</v>
      </c>
      <c r="F59" s="8">
        <v>196</v>
      </c>
      <c r="G59" s="8">
        <v>7344</v>
      </c>
      <c r="H59" s="8">
        <v>248</v>
      </c>
      <c r="I59" s="14">
        <f t="shared" si="2"/>
        <v>7641</v>
      </c>
      <c r="J59" s="14">
        <f t="shared" si="3"/>
        <v>-52</v>
      </c>
      <c r="K59" s="15">
        <f t="shared" si="4"/>
        <v>9.1611045674649917E-4</v>
      </c>
      <c r="L59" s="16" t="str">
        <f t="shared" si="5"/>
        <v>Valid</v>
      </c>
      <c r="M59" s="16" t="str">
        <f t="shared" si="6"/>
        <v>Valid</v>
      </c>
      <c r="N59" s="17" t="str">
        <f t="shared" si="7"/>
        <v>Stable/Reducing</v>
      </c>
      <c r="O59" s="16">
        <f t="shared" si="8"/>
        <v>1.2653061224489797</v>
      </c>
      <c r="P59" s="14">
        <f t="shared" si="10"/>
        <v>7856.4285714285716</v>
      </c>
      <c r="Q59" s="16">
        <f t="shared" si="9"/>
        <v>2918.4580782596145</v>
      </c>
    </row>
    <row r="60" spans="1:17" x14ac:dyDescent="0.3">
      <c r="A60" s="13">
        <v>45034</v>
      </c>
      <c r="B60" s="13" t="str">
        <f t="shared" si="0"/>
        <v>April</v>
      </c>
      <c r="C60" s="13" t="str">
        <f t="shared" si="1"/>
        <v>2023-04</v>
      </c>
      <c r="D60" s="8">
        <v>152</v>
      </c>
      <c r="E60" s="8">
        <v>272</v>
      </c>
      <c r="F60" s="8">
        <v>214</v>
      </c>
      <c r="G60" s="8">
        <v>7376</v>
      </c>
      <c r="H60" s="8">
        <v>234</v>
      </c>
      <c r="I60" s="14">
        <f t="shared" si="2"/>
        <v>7648</v>
      </c>
      <c r="J60" s="14">
        <f t="shared" si="3"/>
        <v>-20</v>
      </c>
      <c r="K60" s="15">
        <f t="shared" si="4"/>
        <v>9.8064853556485351E-3</v>
      </c>
      <c r="L60" s="16" t="str">
        <f t="shared" si="5"/>
        <v>Valid</v>
      </c>
      <c r="M60" s="16" t="str">
        <f t="shared" si="6"/>
        <v>Valid</v>
      </c>
      <c r="N60" s="17" t="str">
        <f t="shared" si="7"/>
        <v>Stable/Reducing</v>
      </c>
      <c r="O60" s="16">
        <f t="shared" si="8"/>
        <v>1.0934579439252337</v>
      </c>
      <c r="P60" s="14">
        <f t="shared" si="10"/>
        <v>7959.4285714285716</v>
      </c>
      <c r="Q60" s="16">
        <f t="shared" si="9"/>
        <v>2918.4580782596145</v>
      </c>
    </row>
    <row r="61" spans="1:17" x14ac:dyDescent="0.3">
      <c r="A61" s="13">
        <v>45035</v>
      </c>
      <c r="B61" s="13" t="str">
        <f t="shared" si="0"/>
        <v>April</v>
      </c>
      <c r="C61" s="13" t="str">
        <f t="shared" si="1"/>
        <v>2023-04</v>
      </c>
      <c r="D61" s="8">
        <v>239</v>
      </c>
      <c r="E61" s="8">
        <v>367</v>
      </c>
      <c r="F61" s="8">
        <v>224</v>
      </c>
      <c r="G61" s="8">
        <v>7356</v>
      </c>
      <c r="H61" s="8">
        <v>229</v>
      </c>
      <c r="I61" s="14">
        <f t="shared" si="2"/>
        <v>7723</v>
      </c>
      <c r="J61" s="14">
        <f t="shared" si="3"/>
        <v>-5</v>
      </c>
      <c r="K61" s="15">
        <f t="shared" si="4"/>
        <v>6.0857179852388966E-3</v>
      </c>
      <c r="L61" s="16" t="str">
        <f t="shared" si="5"/>
        <v>Valid</v>
      </c>
      <c r="M61" s="16" t="str">
        <f t="shared" si="6"/>
        <v>Valid</v>
      </c>
      <c r="N61" s="17" t="str">
        <f t="shared" si="7"/>
        <v>Stable/Reducing</v>
      </c>
      <c r="O61" s="16">
        <f t="shared" si="8"/>
        <v>1.0223214285714286</v>
      </c>
      <c r="P61" s="14">
        <f t="shared" si="10"/>
        <v>8072.8571428571431</v>
      </c>
      <c r="Q61" s="16">
        <f t="shared" si="9"/>
        <v>2918.4580782596145</v>
      </c>
    </row>
    <row r="62" spans="1:17" x14ac:dyDescent="0.3">
      <c r="A62" s="13">
        <v>45036</v>
      </c>
      <c r="B62" s="13" t="str">
        <f t="shared" si="0"/>
        <v>April</v>
      </c>
      <c r="C62" s="13" t="str">
        <f t="shared" si="1"/>
        <v>2023-04</v>
      </c>
      <c r="D62" s="8">
        <v>113</v>
      </c>
      <c r="E62" s="8">
        <v>280</v>
      </c>
      <c r="F62" s="8">
        <v>237</v>
      </c>
      <c r="G62" s="8">
        <v>7490</v>
      </c>
      <c r="H62" s="8">
        <v>320</v>
      </c>
      <c r="I62" s="14">
        <f t="shared" si="2"/>
        <v>7770</v>
      </c>
      <c r="J62" s="14">
        <f t="shared" si="3"/>
        <v>-83</v>
      </c>
      <c r="K62" s="15">
        <f t="shared" si="4"/>
        <v>9.0090090090090089E-3</v>
      </c>
      <c r="L62" s="16" t="str">
        <f t="shared" si="5"/>
        <v>Valid</v>
      </c>
      <c r="M62" s="16" t="str">
        <f t="shared" si="6"/>
        <v>Valid</v>
      </c>
      <c r="N62" s="17" t="str">
        <f t="shared" si="7"/>
        <v>Stable/Reducing</v>
      </c>
      <c r="O62" s="16">
        <f t="shared" si="8"/>
        <v>1.350210970464135</v>
      </c>
      <c r="P62" s="14">
        <f t="shared" si="10"/>
        <v>8197.4285714285706</v>
      </c>
      <c r="Q62" s="16">
        <f t="shared" si="9"/>
        <v>2918.4580782596145</v>
      </c>
    </row>
    <row r="63" spans="1:17" x14ac:dyDescent="0.3">
      <c r="A63" s="13">
        <v>45039</v>
      </c>
      <c r="B63" s="13" t="str">
        <f t="shared" si="0"/>
        <v>April</v>
      </c>
      <c r="C63" s="13" t="str">
        <f t="shared" si="1"/>
        <v>2023-04</v>
      </c>
      <c r="D63" s="8">
        <v>196</v>
      </c>
      <c r="E63" s="8">
        <v>306</v>
      </c>
      <c r="F63" s="8">
        <v>187</v>
      </c>
      <c r="G63" s="8">
        <v>7534</v>
      </c>
      <c r="H63" s="8">
        <v>266</v>
      </c>
      <c r="I63" s="14">
        <f t="shared" si="2"/>
        <v>7840</v>
      </c>
      <c r="J63" s="14">
        <f t="shared" si="3"/>
        <v>-79</v>
      </c>
      <c r="K63" s="15">
        <f t="shared" si="4"/>
        <v>3.6479591836734694E-2</v>
      </c>
      <c r="L63" s="16" t="str">
        <f t="shared" si="5"/>
        <v>Valid</v>
      </c>
      <c r="M63" s="16" t="str">
        <f t="shared" si="6"/>
        <v>Valid</v>
      </c>
      <c r="N63" s="17" t="str">
        <f t="shared" si="7"/>
        <v>Stable/Reducing</v>
      </c>
      <c r="O63" s="16">
        <f t="shared" si="8"/>
        <v>1.4224598930481283</v>
      </c>
      <c r="P63" s="14">
        <f t="shared" si="10"/>
        <v>8345.5714285714294</v>
      </c>
      <c r="Q63" s="16">
        <f t="shared" si="9"/>
        <v>2918.4580782596145</v>
      </c>
    </row>
    <row r="64" spans="1:17" x14ac:dyDescent="0.3">
      <c r="A64" s="13">
        <v>45040</v>
      </c>
      <c r="B64" s="13" t="str">
        <f t="shared" si="0"/>
        <v>April</v>
      </c>
      <c r="C64" s="13" t="str">
        <f t="shared" si="1"/>
        <v>2023-04</v>
      </c>
      <c r="D64" s="8">
        <v>236</v>
      </c>
      <c r="E64" s="8">
        <v>330</v>
      </c>
      <c r="F64" s="8">
        <v>222</v>
      </c>
      <c r="G64" s="8">
        <v>7796</v>
      </c>
      <c r="H64" s="8">
        <v>213</v>
      </c>
      <c r="I64" s="14">
        <f t="shared" si="2"/>
        <v>8126</v>
      </c>
      <c r="J64" s="14">
        <f t="shared" si="3"/>
        <v>9</v>
      </c>
      <c r="K64" s="15">
        <f t="shared" si="4"/>
        <v>1.4890475018459267E-2</v>
      </c>
      <c r="L64" s="16" t="str">
        <f t="shared" si="5"/>
        <v>Valid</v>
      </c>
      <c r="M64" s="16" t="str">
        <f t="shared" si="6"/>
        <v>Valid</v>
      </c>
      <c r="N64" s="17" t="str">
        <f t="shared" si="7"/>
        <v>Increasing Pressure</v>
      </c>
      <c r="O64" s="16">
        <f t="shared" si="8"/>
        <v>0.95945945945945943</v>
      </c>
      <c r="P64" s="14">
        <f t="shared" si="10"/>
        <v>8508.4285714285706</v>
      </c>
      <c r="Q64" s="16">
        <f t="shared" si="9"/>
        <v>2918.4580782596145</v>
      </c>
    </row>
    <row r="65" spans="1:17" x14ac:dyDescent="0.3">
      <c r="A65" s="13">
        <v>45041</v>
      </c>
      <c r="B65" s="13" t="str">
        <f t="shared" si="0"/>
        <v>April</v>
      </c>
      <c r="C65" s="13" t="str">
        <f t="shared" si="1"/>
        <v>2023-04</v>
      </c>
      <c r="D65" s="8">
        <v>81</v>
      </c>
      <c r="E65" s="8">
        <v>230</v>
      </c>
      <c r="F65" s="8">
        <v>242</v>
      </c>
      <c r="G65" s="8">
        <v>8017</v>
      </c>
      <c r="H65" s="8">
        <v>202</v>
      </c>
      <c r="I65" s="14">
        <f t="shared" si="2"/>
        <v>8247</v>
      </c>
      <c r="J65" s="14">
        <f t="shared" si="3"/>
        <v>40</v>
      </c>
      <c r="K65" s="15">
        <f t="shared" si="4"/>
        <v>1.3944464653813509E-2</v>
      </c>
      <c r="L65" s="16" t="str">
        <f t="shared" si="5"/>
        <v>Invalid</v>
      </c>
      <c r="M65" s="16" t="str">
        <f t="shared" si="6"/>
        <v>Valid</v>
      </c>
      <c r="N65" s="17" t="str">
        <f t="shared" si="7"/>
        <v>Increasing Pressure</v>
      </c>
      <c r="O65" s="16">
        <f t="shared" si="8"/>
        <v>0.83471074380165289</v>
      </c>
      <c r="P65" s="14">
        <f t="shared" si="10"/>
        <v>8641.4285714285706</v>
      </c>
      <c r="Q65" s="16">
        <f t="shared" si="9"/>
        <v>2918.4580782596145</v>
      </c>
    </row>
    <row r="66" spans="1:17" x14ac:dyDescent="0.3">
      <c r="A66" s="13">
        <v>45042</v>
      </c>
      <c r="B66" s="13" t="str">
        <f t="shared" ref="B66:B129" si="11">TEXT(A66, "mmmm")</f>
        <v>April</v>
      </c>
      <c r="C66" s="13" t="str">
        <f t="shared" ref="C66:C129" si="12">TEXT(A66, "yyyy-mm")</f>
        <v>2023-04</v>
      </c>
      <c r="D66" s="8">
        <v>118</v>
      </c>
      <c r="E66" s="8">
        <v>245</v>
      </c>
      <c r="F66" s="8">
        <v>160</v>
      </c>
      <c r="G66" s="8">
        <v>8117</v>
      </c>
      <c r="H66" s="8">
        <v>256</v>
      </c>
      <c r="I66" s="14">
        <f t="shared" ref="I66:I129" si="13">SUM(G66+E66)</f>
        <v>8362</v>
      </c>
      <c r="J66" s="14">
        <f t="shared" ref="J66:J129" si="14">F66-H66</f>
        <v>-96</v>
      </c>
      <c r="K66" s="15">
        <f t="shared" ref="K66:K129" si="15">(I67-I66)/I66</f>
        <v>9.5670892131069114E-3</v>
      </c>
      <c r="L66" s="16" t="str">
        <f t="shared" ref="L66:L129" si="16">IF(F66&lt;=E66, "Valid", "Invalid")</f>
        <v>Valid</v>
      </c>
      <c r="M66" s="16" t="str">
        <f t="shared" ref="M66:M129" si="17">IF(H66&lt;=G66, "Valid", "Invalid")</f>
        <v>Valid</v>
      </c>
      <c r="N66" s="17" t="str">
        <f t="shared" ref="N66:N129" si="18">IF(J66&gt;0, "Increasing Pressure", "Stable/Reducing")</f>
        <v>Stable/Reducing</v>
      </c>
      <c r="O66" s="16">
        <f t="shared" ref="O66:O129" si="19">IFERROR(H66/F66, 0)</f>
        <v>1.6</v>
      </c>
      <c r="P66" s="14">
        <f t="shared" si="10"/>
        <v>8755.1428571428569</v>
      </c>
      <c r="Q66" s="16">
        <f t="shared" ref="Q66:Q129" si="20">_xlfn.STDEV.S(I:I)</f>
        <v>2918.4580782596145</v>
      </c>
    </row>
    <row r="67" spans="1:17" x14ac:dyDescent="0.3">
      <c r="A67" s="13">
        <v>45043</v>
      </c>
      <c r="B67" s="13" t="str">
        <f t="shared" si="11"/>
        <v>April</v>
      </c>
      <c r="C67" s="13" t="str">
        <f t="shared" si="12"/>
        <v>2023-04</v>
      </c>
      <c r="D67" s="8">
        <v>218</v>
      </c>
      <c r="E67" s="8">
        <v>283</v>
      </c>
      <c r="F67" s="8">
        <v>208</v>
      </c>
      <c r="G67" s="8">
        <v>8159</v>
      </c>
      <c r="H67" s="8">
        <v>310</v>
      </c>
      <c r="I67" s="14">
        <f t="shared" si="13"/>
        <v>8442</v>
      </c>
      <c r="J67" s="14">
        <f t="shared" si="14"/>
        <v>-102</v>
      </c>
      <c r="K67" s="15">
        <f t="shared" si="15"/>
        <v>1.8123667377398719E-2</v>
      </c>
      <c r="L67" s="16" t="str">
        <f t="shared" si="16"/>
        <v>Valid</v>
      </c>
      <c r="M67" s="16" t="str">
        <f t="shared" si="17"/>
        <v>Valid</v>
      </c>
      <c r="N67" s="17" t="str">
        <f t="shared" si="18"/>
        <v>Stable/Reducing</v>
      </c>
      <c r="O67" s="16">
        <f t="shared" si="19"/>
        <v>1.4903846153846154</v>
      </c>
      <c r="P67" s="14">
        <f t="shared" ref="P67:P130" si="21">AVERAGE(I67:I73)</f>
        <v>8820.8571428571431</v>
      </c>
      <c r="Q67" s="16">
        <f t="shared" si="20"/>
        <v>2918.4580782596145</v>
      </c>
    </row>
    <row r="68" spans="1:17" x14ac:dyDescent="0.3">
      <c r="A68" s="13">
        <v>45046</v>
      </c>
      <c r="B68" s="13" t="str">
        <f t="shared" si="11"/>
        <v>April</v>
      </c>
      <c r="C68" s="13" t="str">
        <f t="shared" si="12"/>
        <v>2023-04</v>
      </c>
      <c r="D68" s="8">
        <v>132</v>
      </c>
      <c r="E68" s="8">
        <v>243</v>
      </c>
      <c r="F68" s="8">
        <v>183</v>
      </c>
      <c r="G68" s="8">
        <v>8352</v>
      </c>
      <c r="H68" s="8">
        <v>293</v>
      </c>
      <c r="I68" s="14">
        <f t="shared" si="13"/>
        <v>8595</v>
      </c>
      <c r="J68" s="14">
        <f t="shared" si="14"/>
        <v>-110</v>
      </c>
      <c r="K68" s="15">
        <f t="shared" si="15"/>
        <v>2.4665503199534613E-2</v>
      </c>
      <c r="L68" s="16" t="str">
        <f t="shared" si="16"/>
        <v>Valid</v>
      </c>
      <c r="M68" s="16" t="str">
        <f t="shared" si="17"/>
        <v>Valid</v>
      </c>
      <c r="N68" s="17" t="str">
        <f t="shared" si="18"/>
        <v>Stable/Reducing</v>
      </c>
      <c r="O68" s="16">
        <f t="shared" si="19"/>
        <v>1.6010928961748634</v>
      </c>
      <c r="P68" s="14">
        <f t="shared" si="21"/>
        <v>8883</v>
      </c>
      <c r="Q68" s="16">
        <f t="shared" si="20"/>
        <v>2918.4580782596145</v>
      </c>
    </row>
    <row r="69" spans="1:17" x14ac:dyDescent="0.3">
      <c r="A69" s="13">
        <v>45047</v>
      </c>
      <c r="B69" s="13" t="str">
        <f t="shared" si="11"/>
        <v>May</v>
      </c>
      <c r="C69" s="13" t="str">
        <f t="shared" si="12"/>
        <v>2023-05</v>
      </c>
      <c r="D69" s="8">
        <v>224</v>
      </c>
      <c r="E69" s="8">
        <v>315</v>
      </c>
      <c r="F69" s="8">
        <v>152</v>
      </c>
      <c r="G69" s="8">
        <v>8492</v>
      </c>
      <c r="H69" s="8">
        <v>237</v>
      </c>
      <c r="I69" s="14">
        <f t="shared" si="13"/>
        <v>8807</v>
      </c>
      <c r="J69" s="14">
        <f t="shared" si="14"/>
        <v>-85</v>
      </c>
      <c r="K69" s="15">
        <f t="shared" si="15"/>
        <v>1.964346542522993E-2</v>
      </c>
      <c r="L69" s="16" t="str">
        <f t="shared" si="16"/>
        <v>Valid</v>
      </c>
      <c r="M69" s="16" t="str">
        <f t="shared" si="17"/>
        <v>Valid</v>
      </c>
      <c r="N69" s="17" t="str">
        <f t="shared" si="18"/>
        <v>Stable/Reducing</v>
      </c>
      <c r="O69" s="16">
        <f t="shared" si="19"/>
        <v>1.5592105263157894</v>
      </c>
      <c r="P69" s="14">
        <f t="shared" si="21"/>
        <v>8928.8571428571431</v>
      </c>
      <c r="Q69" s="16">
        <f t="shared" si="20"/>
        <v>2918.4580782596145</v>
      </c>
    </row>
    <row r="70" spans="1:17" x14ac:dyDescent="0.3">
      <c r="A70" s="13">
        <v>45048</v>
      </c>
      <c r="B70" s="13" t="str">
        <f t="shared" si="11"/>
        <v>May</v>
      </c>
      <c r="C70" s="13" t="str">
        <f t="shared" si="12"/>
        <v>2023-05</v>
      </c>
      <c r="D70" s="8">
        <v>167</v>
      </c>
      <c r="E70" s="8">
        <v>326</v>
      </c>
      <c r="F70" s="8">
        <v>213</v>
      </c>
      <c r="G70" s="8">
        <v>8654</v>
      </c>
      <c r="H70" s="8">
        <v>245</v>
      </c>
      <c r="I70" s="14">
        <f t="shared" si="13"/>
        <v>8980</v>
      </c>
      <c r="J70" s="14">
        <f t="shared" si="14"/>
        <v>-32</v>
      </c>
      <c r="K70" s="15">
        <f t="shared" si="15"/>
        <v>8.5746102449888641E-3</v>
      </c>
      <c r="L70" s="16" t="str">
        <f t="shared" si="16"/>
        <v>Valid</v>
      </c>
      <c r="M70" s="16" t="str">
        <f t="shared" si="17"/>
        <v>Valid</v>
      </c>
      <c r="N70" s="17" t="str">
        <f t="shared" si="18"/>
        <v>Stable/Reducing</v>
      </c>
      <c r="O70" s="16">
        <f t="shared" si="19"/>
        <v>1.1502347417840375</v>
      </c>
      <c r="P70" s="14">
        <f t="shared" si="21"/>
        <v>8951.5714285714294</v>
      </c>
      <c r="Q70" s="16">
        <f t="shared" si="20"/>
        <v>2918.4580782596145</v>
      </c>
    </row>
    <row r="71" spans="1:17" x14ac:dyDescent="0.3">
      <c r="A71" s="13">
        <v>45049</v>
      </c>
      <c r="B71" s="13" t="str">
        <f t="shared" si="11"/>
        <v>May</v>
      </c>
      <c r="C71" s="13" t="str">
        <f t="shared" si="12"/>
        <v>2023-05</v>
      </c>
      <c r="D71" s="8">
        <v>209</v>
      </c>
      <c r="E71" s="8">
        <v>353</v>
      </c>
      <c r="F71" s="8">
        <v>232</v>
      </c>
      <c r="G71" s="8">
        <v>8704</v>
      </c>
      <c r="H71" s="8">
        <v>267</v>
      </c>
      <c r="I71" s="14">
        <f t="shared" si="13"/>
        <v>9057</v>
      </c>
      <c r="J71" s="14">
        <f t="shared" si="14"/>
        <v>-35</v>
      </c>
      <c r="K71" s="15">
        <f t="shared" si="15"/>
        <v>-1.5457657060836921E-3</v>
      </c>
      <c r="L71" s="16" t="str">
        <f t="shared" si="16"/>
        <v>Valid</v>
      </c>
      <c r="M71" s="16" t="str">
        <f t="shared" si="17"/>
        <v>Valid</v>
      </c>
      <c r="N71" s="17" t="str">
        <f t="shared" si="18"/>
        <v>Stable/Reducing</v>
      </c>
      <c r="O71" s="16">
        <f t="shared" si="19"/>
        <v>1.1508620689655173</v>
      </c>
      <c r="P71" s="14">
        <f t="shared" si="21"/>
        <v>8966.4285714285706</v>
      </c>
      <c r="Q71" s="16">
        <f t="shared" si="20"/>
        <v>2918.4580782596145</v>
      </c>
    </row>
    <row r="72" spans="1:17" x14ac:dyDescent="0.3">
      <c r="A72" s="13">
        <v>45050</v>
      </c>
      <c r="B72" s="13" t="str">
        <f t="shared" si="11"/>
        <v>May</v>
      </c>
      <c r="C72" s="13" t="str">
        <f t="shared" si="12"/>
        <v>2023-05</v>
      </c>
      <c r="D72" s="8">
        <v>153</v>
      </c>
      <c r="E72" s="8">
        <v>253</v>
      </c>
      <c r="F72" s="8">
        <v>286</v>
      </c>
      <c r="G72" s="8">
        <v>8790</v>
      </c>
      <c r="H72" s="8">
        <v>332</v>
      </c>
      <c r="I72" s="14">
        <f t="shared" si="13"/>
        <v>9043</v>
      </c>
      <c r="J72" s="14">
        <f t="shared" si="14"/>
        <v>-46</v>
      </c>
      <c r="K72" s="15">
        <f t="shared" si="15"/>
        <v>-2.4438792436138449E-2</v>
      </c>
      <c r="L72" s="16" t="str">
        <f t="shared" si="16"/>
        <v>Invalid</v>
      </c>
      <c r="M72" s="16" t="str">
        <f t="shared" si="17"/>
        <v>Valid</v>
      </c>
      <c r="N72" s="17" t="str">
        <f t="shared" si="18"/>
        <v>Stable/Reducing</v>
      </c>
      <c r="O72" s="16">
        <f t="shared" si="19"/>
        <v>1.1608391608391608</v>
      </c>
      <c r="P72" s="14">
        <f t="shared" si="21"/>
        <v>8915.4285714285706</v>
      </c>
      <c r="Q72" s="16">
        <f t="shared" si="20"/>
        <v>2918.4580782596145</v>
      </c>
    </row>
    <row r="73" spans="1:17" x14ac:dyDescent="0.3">
      <c r="A73" s="13">
        <v>45053</v>
      </c>
      <c r="B73" s="13" t="str">
        <f t="shared" si="11"/>
        <v>May</v>
      </c>
      <c r="C73" s="13" t="str">
        <f t="shared" si="12"/>
        <v>2023-05</v>
      </c>
      <c r="D73" s="8">
        <v>180</v>
      </c>
      <c r="E73" s="8">
        <v>337</v>
      </c>
      <c r="F73" s="8">
        <v>219</v>
      </c>
      <c r="G73" s="8">
        <v>8485</v>
      </c>
      <c r="H73" s="8">
        <v>375</v>
      </c>
      <c r="I73" s="14">
        <f t="shared" si="13"/>
        <v>8822</v>
      </c>
      <c r="J73" s="14">
        <f t="shared" si="14"/>
        <v>-156</v>
      </c>
      <c r="K73" s="15">
        <f t="shared" si="15"/>
        <v>6.2344139650872821E-3</v>
      </c>
      <c r="L73" s="16" t="str">
        <f t="shared" si="16"/>
        <v>Valid</v>
      </c>
      <c r="M73" s="16" t="str">
        <f t="shared" si="17"/>
        <v>Valid</v>
      </c>
      <c r="N73" s="17" t="str">
        <f t="shared" si="18"/>
        <v>Stable/Reducing</v>
      </c>
      <c r="O73" s="16">
        <f t="shared" si="19"/>
        <v>1.7123287671232876</v>
      </c>
      <c r="P73" s="14">
        <f t="shared" si="21"/>
        <v>8890</v>
      </c>
      <c r="Q73" s="16">
        <f t="shared" si="20"/>
        <v>2918.4580782596145</v>
      </c>
    </row>
    <row r="74" spans="1:17" x14ac:dyDescent="0.3">
      <c r="A74" s="13">
        <v>45054</v>
      </c>
      <c r="B74" s="13" t="str">
        <f t="shared" si="11"/>
        <v>May</v>
      </c>
      <c r="C74" s="13" t="str">
        <f t="shared" si="12"/>
        <v>2023-05</v>
      </c>
      <c r="D74" s="8">
        <v>133</v>
      </c>
      <c r="E74" s="8">
        <v>287</v>
      </c>
      <c r="F74" s="8">
        <v>189</v>
      </c>
      <c r="G74" s="8">
        <v>8590</v>
      </c>
      <c r="H74" s="8">
        <v>261</v>
      </c>
      <c r="I74" s="14">
        <f t="shared" si="13"/>
        <v>8877</v>
      </c>
      <c r="J74" s="14">
        <f t="shared" si="14"/>
        <v>-72</v>
      </c>
      <c r="K74" s="15">
        <f t="shared" si="15"/>
        <v>4.3933761405880369E-3</v>
      </c>
      <c r="L74" s="16" t="str">
        <f t="shared" si="16"/>
        <v>Valid</v>
      </c>
      <c r="M74" s="16" t="str">
        <f t="shared" si="17"/>
        <v>Valid</v>
      </c>
      <c r="N74" s="17" t="str">
        <f t="shared" si="18"/>
        <v>Stable/Reducing</v>
      </c>
      <c r="O74" s="16">
        <f t="shared" si="19"/>
        <v>1.3809523809523809</v>
      </c>
      <c r="P74" s="14">
        <f t="shared" si="21"/>
        <v>8897.7142857142862</v>
      </c>
      <c r="Q74" s="16">
        <f t="shared" si="20"/>
        <v>2918.4580782596145</v>
      </c>
    </row>
    <row r="75" spans="1:17" x14ac:dyDescent="0.3">
      <c r="A75" s="13">
        <v>45055</v>
      </c>
      <c r="B75" s="13" t="str">
        <f t="shared" si="11"/>
        <v>May</v>
      </c>
      <c r="C75" s="13" t="str">
        <f t="shared" si="12"/>
        <v>2023-05</v>
      </c>
      <c r="D75" s="8">
        <v>187</v>
      </c>
      <c r="E75" s="8">
        <v>310</v>
      </c>
      <c r="F75" s="8">
        <v>247</v>
      </c>
      <c r="G75" s="8">
        <v>8606</v>
      </c>
      <c r="H75" s="8">
        <v>250</v>
      </c>
      <c r="I75" s="14">
        <f t="shared" si="13"/>
        <v>8916</v>
      </c>
      <c r="J75" s="14">
        <f t="shared" si="14"/>
        <v>-3</v>
      </c>
      <c r="K75" s="15">
        <f t="shared" si="15"/>
        <v>5.6078959174517724E-3</v>
      </c>
      <c r="L75" s="16" t="str">
        <f t="shared" si="16"/>
        <v>Valid</v>
      </c>
      <c r="M75" s="16" t="str">
        <f t="shared" si="17"/>
        <v>Valid</v>
      </c>
      <c r="N75" s="17" t="str">
        <f t="shared" si="18"/>
        <v>Stable/Reducing</v>
      </c>
      <c r="O75" s="16">
        <f t="shared" si="19"/>
        <v>1.0121457489878543</v>
      </c>
      <c r="P75" s="14">
        <f t="shared" si="21"/>
        <v>8876.8571428571431</v>
      </c>
      <c r="Q75" s="16">
        <f t="shared" si="20"/>
        <v>2918.4580782596145</v>
      </c>
    </row>
    <row r="76" spans="1:17" x14ac:dyDescent="0.3">
      <c r="A76" s="13">
        <v>45056</v>
      </c>
      <c r="B76" s="13" t="str">
        <f t="shared" si="11"/>
        <v>May</v>
      </c>
      <c r="C76" s="13" t="str">
        <f t="shared" si="12"/>
        <v>2023-05</v>
      </c>
      <c r="D76" s="8">
        <v>168</v>
      </c>
      <c r="E76" s="8">
        <v>285</v>
      </c>
      <c r="F76" s="8">
        <v>210</v>
      </c>
      <c r="G76" s="8">
        <v>8681</v>
      </c>
      <c r="H76" s="8">
        <v>304</v>
      </c>
      <c r="I76" s="14">
        <f t="shared" si="13"/>
        <v>8966</v>
      </c>
      <c r="J76" s="14">
        <f t="shared" si="14"/>
        <v>-94</v>
      </c>
      <c r="K76" s="15">
        <f t="shared" si="15"/>
        <v>1.3160829801472228E-2</v>
      </c>
      <c r="L76" s="16" t="str">
        <f t="shared" si="16"/>
        <v>Valid</v>
      </c>
      <c r="M76" s="16" t="str">
        <f t="shared" si="17"/>
        <v>Valid</v>
      </c>
      <c r="N76" s="17" t="str">
        <f t="shared" si="18"/>
        <v>Stable/Reducing</v>
      </c>
      <c r="O76" s="16">
        <f t="shared" si="19"/>
        <v>1.4476190476190476</v>
      </c>
      <c r="P76" s="14">
        <f t="shared" si="21"/>
        <v>8831.1428571428569</v>
      </c>
      <c r="Q76" s="16">
        <f t="shared" si="20"/>
        <v>2918.4580782596145</v>
      </c>
    </row>
    <row r="77" spans="1:17" x14ac:dyDescent="0.3">
      <c r="A77" s="13">
        <v>45057</v>
      </c>
      <c r="B77" s="13" t="str">
        <f t="shared" si="11"/>
        <v>May</v>
      </c>
      <c r="C77" s="13" t="str">
        <f t="shared" si="12"/>
        <v>2023-05</v>
      </c>
      <c r="D77" s="8">
        <v>269</v>
      </c>
      <c r="E77" s="8">
        <v>412</v>
      </c>
      <c r="F77" s="8">
        <v>204</v>
      </c>
      <c r="G77" s="8">
        <v>8672</v>
      </c>
      <c r="H77" s="8">
        <v>392</v>
      </c>
      <c r="I77" s="14">
        <f t="shared" si="13"/>
        <v>9084</v>
      </c>
      <c r="J77" s="14">
        <f t="shared" si="14"/>
        <v>-188</v>
      </c>
      <c r="K77" s="15">
        <f t="shared" si="15"/>
        <v>-4.2272126816380449E-2</v>
      </c>
      <c r="L77" s="16" t="str">
        <f t="shared" si="16"/>
        <v>Valid</v>
      </c>
      <c r="M77" s="16" t="str">
        <f t="shared" si="17"/>
        <v>Valid</v>
      </c>
      <c r="N77" s="17" t="str">
        <f t="shared" si="18"/>
        <v>Stable/Reducing</v>
      </c>
      <c r="O77" s="16">
        <f t="shared" si="19"/>
        <v>1.9215686274509804</v>
      </c>
      <c r="P77" s="14">
        <f t="shared" si="21"/>
        <v>8692.5714285714294</v>
      </c>
      <c r="Q77" s="16">
        <f t="shared" si="20"/>
        <v>2918.4580782596145</v>
      </c>
    </row>
    <row r="78" spans="1:17" x14ac:dyDescent="0.3">
      <c r="A78" s="13">
        <v>45060</v>
      </c>
      <c r="B78" s="13" t="str">
        <f t="shared" si="11"/>
        <v>May</v>
      </c>
      <c r="C78" s="13" t="str">
        <f t="shared" si="12"/>
        <v>2023-05</v>
      </c>
      <c r="D78" s="8">
        <v>100</v>
      </c>
      <c r="E78" s="8">
        <v>255</v>
      </c>
      <c r="F78" s="8">
        <v>236</v>
      </c>
      <c r="G78" s="8">
        <v>8445</v>
      </c>
      <c r="H78" s="8">
        <v>288</v>
      </c>
      <c r="I78" s="14">
        <f t="shared" si="13"/>
        <v>8700</v>
      </c>
      <c r="J78" s="14">
        <f t="shared" si="14"/>
        <v>-52</v>
      </c>
      <c r="K78" s="15">
        <f t="shared" si="15"/>
        <v>1.896551724137931E-2</v>
      </c>
      <c r="L78" s="16" t="str">
        <f t="shared" si="16"/>
        <v>Valid</v>
      </c>
      <c r="M78" s="16" t="str">
        <f t="shared" si="17"/>
        <v>Valid</v>
      </c>
      <c r="N78" s="17" t="str">
        <f t="shared" si="18"/>
        <v>Stable/Reducing</v>
      </c>
      <c r="O78" s="16">
        <f t="shared" si="19"/>
        <v>1.2203389830508475</v>
      </c>
      <c r="P78" s="14">
        <f t="shared" si="21"/>
        <v>8538.2857142857138</v>
      </c>
      <c r="Q78" s="16">
        <f t="shared" si="20"/>
        <v>2918.4580782596145</v>
      </c>
    </row>
    <row r="79" spans="1:17" x14ac:dyDescent="0.3">
      <c r="A79" s="13">
        <v>45061</v>
      </c>
      <c r="B79" s="13" t="str">
        <f t="shared" si="11"/>
        <v>May</v>
      </c>
      <c r="C79" s="13" t="str">
        <f t="shared" si="12"/>
        <v>2023-05</v>
      </c>
      <c r="D79" s="8">
        <v>205</v>
      </c>
      <c r="E79" s="8">
        <v>294</v>
      </c>
      <c r="F79" s="8">
        <v>177</v>
      </c>
      <c r="G79" s="8">
        <v>8571</v>
      </c>
      <c r="H79" s="8">
        <v>277</v>
      </c>
      <c r="I79" s="14">
        <f t="shared" si="13"/>
        <v>8865</v>
      </c>
      <c r="J79" s="14">
        <f t="shared" si="14"/>
        <v>-100</v>
      </c>
      <c r="K79" s="15">
        <f t="shared" si="15"/>
        <v>1.2408347433728144E-3</v>
      </c>
      <c r="L79" s="16" t="str">
        <f t="shared" si="16"/>
        <v>Valid</v>
      </c>
      <c r="M79" s="16" t="str">
        <f t="shared" si="17"/>
        <v>Valid</v>
      </c>
      <c r="N79" s="17" t="str">
        <f t="shared" si="18"/>
        <v>Stable/Reducing</v>
      </c>
      <c r="O79" s="16">
        <f t="shared" si="19"/>
        <v>1.5649717514124293</v>
      </c>
      <c r="P79" s="14">
        <f t="shared" si="21"/>
        <v>8417.4285714285706</v>
      </c>
      <c r="Q79" s="16">
        <f t="shared" si="20"/>
        <v>2918.4580782596145</v>
      </c>
    </row>
    <row r="80" spans="1:17" x14ac:dyDescent="0.3">
      <c r="A80" s="13">
        <v>45062</v>
      </c>
      <c r="B80" s="13" t="str">
        <f t="shared" si="11"/>
        <v>May</v>
      </c>
      <c r="C80" s="13" t="str">
        <f t="shared" si="12"/>
        <v>2023-05</v>
      </c>
      <c r="D80" s="8">
        <v>161</v>
      </c>
      <c r="E80" s="8">
        <v>304</v>
      </c>
      <c r="F80" s="8">
        <v>211</v>
      </c>
      <c r="G80" s="8">
        <v>8572</v>
      </c>
      <c r="H80" s="8">
        <v>272</v>
      </c>
      <c r="I80" s="14">
        <f t="shared" si="13"/>
        <v>8876</v>
      </c>
      <c r="J80" s="14">
        <f t="shared" si="14"/>
        <v>-61</v>
      </c>
      <c r="K80" s="15">
        <f t="shared" si="15"/>
        <v>-1.6336187471834161E-2</v>
      </c>
      <c r="L80" s="16" t="str">
        <f t="shared" si="16"/>
        <v>Valid</v>
      </c>
      <c r="M80" s="16" t="str">
        <f t="shared" si="17"/>
        <v>Valid</v>
      </c>
      <c r="N80" s="17" t="str">
        <f t="shared" si="18"/>
        <v>Stable/Reducing</v>
      </c>
      <c r="O80" s="16">
        <f t="shared" si="19"/>
        <v>1.2890995260663507</v>
      </c>
      <c r="P80" s="14">
        <f t="shared" si="21"/>
        <v>8262.2857142857138</v>
      </c>
      <c r="Q80" s="16">
        <f t="shared" si="20"/>
        <v>2918.4580782596145</v>
      </c>
    </row>
    <row r="81" spans="1:17" x14ac:dyDescent="0.3">
      <c r="A81" s="13">
        <v>45063</v>
      </c>
      <c r="B81" s="13" t="str">
        <f t="shared" si="11"/>
        <v>May</v>
      </c>
      <c r="C81" s="13" t="str">
        <f t="shared" si="12"/>
        <v>2023-05</v>
      </c>
      <c r="D81" s="8">
        <v>57</v>
      </c>
      <c r="E81" s="8">
        <v>162</v>
      </c>
      <c r="F81" s="8">
        <v>193</v>
      </c>
      <c r="G81" s="8">
        <v>8569</v>
      </c>
      <c r="H81" s="8">
        <v>307</v>
      </c>
      <c r="I81" s="14">
        <f t="shared" si="13"/>
        <v>8731</v>
      </c>
      <c r="J81" s="14">
        <f t="shared" si="14"/>
        <v>-114</v>
      </c>
      <c r="K81" s="15">
        <f t="shared" si="15"/>
        <v>-1.5462146374985683E-2</v>
      </c>
      <c r="L81" s="16" t="str">
        <f t="shared" si="16"/>
        <v>Invalid</v>
      </c>
      <c r="M81" s="16" t="str">
        <f t="shared" si="17"/>
        <v>Valid</v>
      </c>
      <c r="N81" s="17" t="str">
        <f t="shared" si="18"/>
        <v>Stable/Reducing</v>
      </c>
      <c r="O81" s="16">
        <f t="shared" si="19"/>
        <v>1.5906735751295338</v>
      </c>
      <c r="P81" s="14">
        <f t="shared" si="21"/>
        <v>8082.7142857142853</v>
      </c>
      <c r="Q81" s="16">
        <f t="shared" si="20"/>
        <v>2918.4580782596145</v>
      </c>
    </row>
    <row r="82" spans="1:17" x14ac:dyDescent="0.3">
      <c r="A82" s="13">
        <v>45064</v>
      </c>
      <c r="B82" s="13" t="str">
        <f t="shared" si="11"/>
        <v>May</v>
      </c>
      <c r="C82" s="13" t="str">
        <f t="shared" si="12"/>
        <v>2023-05</v>
      </c>
      <c r="D82" s="8">
        <v>80</v>
      </c>
      <c r="E82" s="8">
        <v>122</v>
      </c>
      <c r="F82" s="8">
        <v>152</v>
      </c>
      <c r="G82" s="8">
        <v>8474</v>
      </c>
      <c r="H82" s="8">
        <v>351</v>
      </c>
      <c r="I82" s="14">
        <f t="shared" si="13"/>
        <v>8596</v>
      </c>
      <c r="J82" s="14">
        <f t="shared" si="14"/>
        <v>-199</v>
      </c>
      <c r="K82" s="15">
        <f t="shared" si="15"/>
        <v>-6.9799906933457417E-2</v>
      </c>
      <c r="L82" s="16" t="str">
        <f t="shared" si="16"/>
        <v>Invalid</v>
      </c>
      <c r="M82" s="16" t="str">
        <f t="shared" si="17"/>
        <v>Valid</v>
      </c>
      <c r="N82" s="17" t="str">
        <f t="shared" si="18"/>
        <v>Stable/Reducing</v>
      </c>
      <c r="O82" s="16">
        <f t="shared" si="19"/>
        <v>2.3092105263157894</v>
      </c>
      <c r="P82" s="14">
        <f t="shared" si="21"/>
        <v>7843.4285714285716</v>
      </c>
      <c r="Q82" s="16">
        <f t="shared" si="20"/>
        <v>2918.4580782596145</v>
      </c>
    </row>
    <row r="83" spans="1:17" x14ac:dyDescent="0.3">
      <c r="A83" s="13">
        <v>45067</v>
      </c>
      <c r="B83" s="13" t="str">
        <f t="shared" si="11"/>
        <v>May</v>
      </c>
      <c r="C83" s="13" t="str">
        <f t="shared" si="12"/>
        <v>2023-05</v>
      </c>
      <c r="D83" s="8">
        <v>107</v>
      </c>
      <c r="E83" s="8">
        <v>170</v>
      </c>
      <c r="F83" s="8">
        <v>133</v>
      </c>
      <c r="G83" s="8">
        <v>7826</v>
      </c>
      <c r="H83" s="8">
        <v>343</v>
      </c>
      <c r="I83" s="14">
        <f t="shared" si="13"/>
        <v>7996</v>
      </c>
      <c r="J83" s="14">
        <f t="shared" si="14"/>
        <v>-210</v>
      </c>
      <c r="K83" s="15">
        <f t="shared" si="15"/>
        <v>1.0005002501250625E-3</v>
      </c>
      <c r="L83" s="16" t="str">
        <f t="shared" si="16"/>
        <v>Valid</v>
      </c>
      <c r="M83" s="16" t="str">
        <f t="shared" si="17"/>
        <v>Valid</v>
      </c>
      <c r="N83" s="17" t="str">
        <f t="shared" si="18"/>
        <v>Stable/Reducing</v>
      </c>
      <c r="O83" s="16">
        <f t="shared" si="19"/>
        <v>2.5789473684210527</v>
      </c>
      <c r="P83" s="14">
        <f t="shared" si="21"/>
        <v>7633.8571428571431</v>
      </c>
      <c r="Q83" s="16">
        <f t="shared" si="20"/>
        <v>2918.4580782596145</v>
      </c>
    </row>
    <row r="84" spans="1:17" x14ac:dyDescent="0.3">
      <c r="A84" s="13">
        <v>45068</v>
      </c>
      <c r="B84" s="13" t="str">
        <f t="shared" si="11"/>
        <v>May</v>
      </c>
      <c r="C84" s="13" t="str">
        <f t="shared" si="12"/>
        <v>2023-05</v>
      </c>
      <c r="D84" s="8">
        <v>99</v>
      </c>
      <c r="E84" s="8">
        <v>156</v>
      </c>
      <c r="F84" s="8">
        <v>139</v>
      </c>
      <c r="G84" s="8">
        <v>7848</v>
      </c>
      <c r="H84" s="8">
        <v>240</v>
      </c>
      <c r="I84" s="14">
        <f t="shared" si="13"/>
        <v>8004</v>
      </c>
      <c r="J84" s="14">
        <f t="shared" si="14"/>
        <v>-101</v>
      </c>
      <c r="K84" s="15">
        <f t="shared" si="15"/>
        <v>-1.8740629685157422E-2</v>
      </c>
      <c r="L84" s="16" t="str">
        <f t="shared" si="16"/>
        <v>Valid</v>
      </c>
      <c r="M84" s="16" t="str">
        <f t="shared" si="17"/>
        <v>Valid</v>
      </c>
      <c r="N84" s="17" t="str">
        <f t="shared" si="18"/>
        <v>Stable/Reducing</v>
      </c>
      <c r="O84" s="16">
        <f t="shared" si="19"/>
        <v>1.7266187050359711</v>
      </c>
      <c r="P84" s="14">
        <f t="shared" si="21"/>
        <v>7510.5714285714284</v>
      </c>
      <c r="Q84" s="16">
        <f t="shared" si="20"/>
        <v>2918.4580782596145</v>
      </c>
    </row>
    <row r="85" spans="1:17" x14ac:dyDescent="0.3">
      <c r="A85" s="13">
        <v>45069</v>
      </c>
      <c r="B85" s="13" t="str">
        <f t="shared" si="11"/>
        <v>May</v>
      </c>
      <c r="C85" s="13" t="str">
        <f t="shared" si="12"/>
        <v>2023-05</v>
      </c>
      <c r="D85" s="8">
        <v>25</v>
      </c>
      <c r="E85" s="8">
        <v>66</v>
      </c>
      <c r="F85" s="8">
        <v>94</v>
      </c>
      <c r="G85" s="8">
        <v>7788</v>
      </c>
      <c r="H85" s="8">
        <v>246</v>
      </c>
      <c r="I85" s="14">
        <f t="shared" si="13"/>
        <v>7854</v>
      </c>
      <c r="J85" s="14">
        <f t="shared" si="14"/>
        <v>-152</v>
      </c>
      <c r="K85" s="15">
        <f t="shared" si="15"/>
        <v>-9.5492742551566076E-3</v>
      </c>
      <c r="L85" s="16" t="str">
        <f t="shared" si="16"/>
        <v>Invalid</v>
      </c>
      <c r="M85" s="16" t="str">
        <f t="shared" si="17"/>
        <v>Valid</v>
      </c>
      <c r="N85" s="17" t="str">
        <f t="shared" si="18"/>
        <v>Stable/Reducing</v>
      </c>
      <c r="O85" s="16">
        <f t="shared" si="19"/>
        <v>2.6170212765957448</v>
      </c>
      <c r="P85" s="14">
        <f t="shared" si="21"/>
        <v>7379.1428571428569</v>
      </c>
      <c r="Q85" s="16">
        <f t="shared" si="20"/>
        <v>2918.4580782596145</v>
      </c>
    </row>
    <row r="86" spans="1:17" x14ac:dyDescent="0.3">
      <c r="A86" s="13">
        <v>45070</v>
      </c>
      <c r="B86" s="13" t="str">
        <f t="shared" si="11"/>
        <v>May</v>
      </c>
      <c r="C86" s="13" t="str">
        <f t="shared" si="12"/>
        <v>2023-05</v>
      </c>
      <c r="D86" s="8">
        <v>35</v>
      </c>
      <c r="E86" s="8">
        <v>70</v>
      </c>
      <c r="F86" s="8">
        <v>53</v>
      </c>
      <c r="G86" s="8">
        <v>7709</v>
      </c>
      <c r="H86" s="8">
        <v>276</v>
      </c>
      <c r="I86" s="14">
        <f t="shared" si="13"/>
        <v>7779</v>
      </c>
      <c r="J86" s="14">
        <f t="shared" si="14"/>
        <v>-223</v>
      </c>
      <c r="K86" s="15">
        <f t="shared" si="15"/>
        <v>-2.0568196426275873E-2</v>
      </c>
      <c r="L86" s="16" t="str">
        <f t="shared" si="16"/>
        <v>Valid</v>
      </c>
      <c r="M86" s="16" t="str">
        <f t="shared" si="17"/>
        <v>Valid</v>
      </c>
      <c r="N86" s="17" t="str">
        <f t="shared" si="18"/>
        <v>Stable/Reducing</v>
      </c>
      <c r="O86" s="16">
        <f t="shared" si="19"/>
        <v>5.2075471698113205</v>
      </c>
      <c r="P86" s="14">
        <f t="shared" si="21"/>
        <v>7208.2857142857147</v>
      </c>
      <c r="Q86" s="16">
        <f t="shared" si="20"/>
        <v>2918.4580782596145</v>
      </c>
    </row>
    <row r="87" spans="1:17" x14ac:dyDescent="0.3">
      <c r="A87" s="13">
        <v>45071</v>
      </c>
      <c r="B87" s="13" t="str">
        <f t="shared" si="11"/>
        <v>May</v>
      </c>
      <c r="C87" s="13" t="str">
        <f t="shared" si="12"/>
        <v>2023-05</v>
      </c>
      <c r="D87" s="8">
        <v>43</v>
      </c>
      <c r="E87" s="8">
        <v>73</v>
      </c>
      <c r="F87" s="8">
        <v>64</v>
      </c>
      <c r="G87" s="8">
        <v>7546</v>
      </c>
      <c r="H87" s="8">
        <v>408</v>
      </c>
      <c r="I87" s="14">
        <f t="shared" si="13"/>
        <v>7619</v>
      </c>
      <c r="J87" s="14">
        <f t="shared" si="14"/>
        <v>-344</v>
      </c>
      <c r="K87" s="15">
        <f t="shared" si="15"/>
        <v>-7.3894211838823998E-2</v>
      </c>
      <c r="L87" s="16" t="str">
        <f t="shared" si="16"/>
        <v>Valid</v>
      </c>
      <c r="M87" s="16" t="str">
        <f t="shared" si="17"/>
        <v>Valid</v>
      </c>
      <c r="N87" s="17" t="str">
        <f t="shared" si="18"/>
        <v>Stable/Reducing</v>
      </c>
      <c r="O87" s="16">
        <f t="shared" si="19"/>
        <v>6.375</v>
      </c>
      <c r="P87" s="14">
        <f t="shared" si="21"/>
        <v>7044.1428571428569</v>
      </c>
      <c r="Q87" s="16">
        <f t="shared" si="20"/>
        <v>2918.4580782596145</v>
      </c>
    </row>
    <row r="88" spans="1:17" x14ac:dyDescent="0.3">
      <c r="A88" s="13">
        <v>45075</v>
      </c>
      <c r="B88" s="13" t="str">
        <f t="shared" si="11"/>
        <v>May</v>
      </c>
      <c r="C88" s="13" t="str">
        <f t="shared" si="12"/>
        <v>2023-05</v>
      </c>
      <c r="D88" s="8">
        <v>41</v>
      </c>
      <c r="E88" s="8">
        <v>60</v>
      </c>
      <c r="F88" s="8">
        <v>71</v>
      </c>
      <c r="G88" s="8">
        <v>6996</v>
      </c>
      <c r="H88" s="8">
        <v>207</v>
      </c>
      <c r="I88" s="14">
        <f t="shared" si="13"/>
        <v>7056</v>
      </c>
      <c r="J88" s="14">
        <f t="shared" si="14"/>
        <v>-136</v>
      </c>
      <c r="K88" s="15">
        <f t="shared" si="15"/>
        <v>1.0345804988662131E-2</v>
      </c>
      <c r="L88" s="16" t="str">
        <f t="shared" si="16"/>
        <v>Invalid</v>
      </c>
      <c r="M88" s="16" t="str">
        <f t="shared" si="17"/>
        <v>Valid</v>
      </c>
      <c r="N88" s="17" t="str">
        <f t="shared" si="18"/>
        <v>Stable/Reducing</v>
      </c>
      <c r="O88" s="16">
        <f t="shared" si="19"/>
        <v>2.915492957746479</v>
      </c>
      <c r="P88" s="14">
        <f t="shared" si="21"/>
        <v>6903.1428571428569</v>
      </c>
      <c r="Q88" s="16">
        <f t="shared" si="20"/>
        <v>2918.4580782596145</v>
      </c>
    </row>
    <row r="89" spans="1:17" x14ac:dyDescent="0.3">
      <c r="A89" s="13">
        <v>45076</v>
      </c>
      <c r="B89" s="13" t="str">
        <f t="shared" si="11"/>
        <v>May</v>
      </c>
      <c r="C89" s="13" t="str">
        <f t="shared" si="12"/>
        <v>2023-05</v>
      </c>
      <c r="D89" s="8">
        <v>65</v>
      </c>
      <c r="E89" s="8">
        <v>83</v>
      </c>
      <c r="F89" s="8">
        <v>65</v>
      </c>
      <c r="G89" s="8">
        <v>7046</v>
      </c>
      <c r="H89" s="8">
        <v>168</v>
      </c>
      <c r="I89" s="14">
        <f t="shared" si="13"/>
        <v>7129</v>
      </c>
      <c r="J89" s="14">
        <f t="shared" si="14"/>
        <v>-103</v>
      </c>
      <c r="K89" s="15">
        <f t="shared" si="15"/>
        <v>5.6108851171272271E-4</v>
      </c>
      <c r="L89" s="16" t="str">
        <f t="shared" si="16"/>
        <v>Valid</v>
      </c>
      <c r="M89" s="16" t="str">
        <f t="shared" si="17"/>
        <v>Valid</v>
      </c>
      <c r="N89" s="17" t="str">
        <f t="shared" si="18"/>
        <v>Stable/Reducing</v>
      </c>
      <c r="O89" s="16">
        <f t="shared" si="19"/>
        <v>2.5846153846153848</v>
      </c>
      <c r="P89" s="14">
        <f t="shared" si="21"/>
        <v>6844.4285714285716</v>
      </c>
      <c r="Q89" s="16">
        <f t="shared" si="20"/>
        <v>2918.4580782596145</v>
      </c>
    </row>
    <row r="90" spans="1:17" x14ac:dyDescent="0.3">
      <c r="A90" s="13">
        <v>45077</v>
      </c>
      <c r="B90" s="13" t="str">
        <f t="shared" si="11"/>
        <v>May</v>
      </c>
      <c r="C90" s="13" t="str">
        <f t="shared" si="12"/>
        <v>2023-05</v>
      </c>
      <c r="D90" s="8">
        <v>38</v>
      </c>
      <c r="E90" s="8">
        <v>80</v>
      </c>
      <c r="F90" s="8">
        <v>82</v>
      </c>
      <c r="G90" s="8">
        <v>7053</v>
      </c>
      <c r="H90" s="8">
        <v>210</v>
      </c>
      <c r="I90" s="14">
        <f t="shared" si="13"/>
        <v>7133</v>
      </c>
      <c r="J90" s="14">
        <f t="shared" si="14"/>
        <v>-128</v>
      </c>
      <c r="K90" s="15">
        <f t="shared" si="15"/>
        <v>-6.8694798822374874E-3</v>
      </c>
      <c r="L90" s="16" t="str">
        <f t="shared" si="16"/>
        <v>Invalid</v>
      </c>
      <c r="M90" s="16" t="str">
        <f t="shared" si="17"/>
        <v>Valid</v>
      </c>
      <c r="N90" s="17" t="str">
        <f t="shared" si="18"/>
        <v>Stable/Reducing</v>
      </c>
      <c r="O90" s="16">
        <f t="shared" si="19"/>
        <v>2.5609756097560976</v>
      </c>
      <c r="P90" s="14">
        <f t="shared" si="21"/>
        <v>6774.8571428571431</v>
      </c>
      <c r="Q90" s="16">
        <f t="shared" si="20"/>
        <v>2918.4580782596145</v>
      </c>
    </row>
    <row r="91" spans="1:17" x14ac:dyDescent="0.3">
      <c r="A91" s="13">
        <v>45078</v>
      </c>
      <c r="B91" s="13" t="str">
        <f t="shared" si="11"/>
        <v>June</v>
      </c>
      <c r="C91" s="13" t="str">
        <f t="shared" si="12"/>
        <v>2023-06</v>
      </c>
      <c r="D91" s="8">
        <v>56</v>
      </c>
      <c r="E91" s="8">
        <v>82</v>
      </c>
      <c r="F91" s="8">
        <v>68</v>
      </c>
      <c r="G91" s="8">
        <v>7002</v>
      </c>
      <c r="H91" s="8">
        <v>287</v>
      </c>
      <c r="I91" s="14">
        <f t="shared" si="13"/>
        <v>7084</v>
      </c>
      <c r="J91" s="14">
        <f t="shared" si="14"/>
        <v>-219</v>
      </c>
      <c r="K91" s="15">
        <f t="shared" si="15"/>
        <v>-6.0135516657255784E-2</v>
      </c>
      <c r="L91" s="16" t="str">
        <f t="shared" si="16"/>
        <v>Valid</v>
      </c>
      <c r="M91" s="16" t="str">
        <f t="shared" si="17"/>
        <v>Valid</v>
      </c>
      <c r="N91" s="17" t="str">
        <f t="shared" si="18"/>
        <v>Stable/Reducing</v>
      </c>
      <c r="O91" s="16">
        <f t="shared" si="19"/>
        <v>4.2205882352941178</v>
      </c>
      <c r="P91" s="14">
        <f t="shared" si="21"/>
        <v>6635.7142857142853</v>
      </c>
      <c r="Q91" s="16">
        <f t="shared" si="20"/>
        <v>2918.4580782596145</v>
      </c>
    </row>
    <row r="92" spans="1:17" x14ac:dyDescent="0.3">
      <c r="A92" s="13">
        <v>45081</v>
      </c>
      <c r="B92" s="13" t="str">
        <f t="shared" si="11"/>
        <v>June</v>
      </c>
      <c r="C92" s="13" t="str">
        <f t="shared" si="12"/>
        <v>2023-06</v>
      </c>
      <c r="D92" s="8">
        <v>74</v>
      </c>
      <c r="E92" s="8">
        <v>103</v>
      </c>
      <c r="F92" s="8">
        <v>80</v>
      </c>
      <c r="G92" s="8">
        <v>6555</v>
      </c>
      <c r="H92" s="8">
        <v>292</v>
      </c>
      <c r="I92" s="14">
        <f t="shared" si="13"/>
        <v>6658</v>
      </c>
      <c r="J92" s="14">
        <f t="shared" si="14"/>
        <v>-212</v>
      </c>
      <c r="K92" s="15">
        <f t="shared" si="15"/>
        <v>-4.205467107239411E-3</v>
      </c>
      <c r="L92" s="16" t="str">
        <f t="shared" si="16"/>
        <v>Valid</v>
      </c>
      <c r="M92" s="16" t="str">
        <f t="shared" si="17"/>
        <v>Valid</v>
      </c>
      <c r="N92" s="17" t="str">
        <f t="shared" si="18"/>
        <v>Stable/Reducing</v>
      </c>
      <c r="O92" s="16">
        <f t="shared" si="19"/>
        <v>3.65</v>
      </c>
      <c r="P92" s="14">
        <f t="shared" si="21"/>
        <v>6500.7142857142853</v>
      </c>
      <c r="Q92" s="16">
        <f t="shared" si="20"/>
        <v>2918.4580782596145</v>
      </c>
    </row>
    <row r="93" spans="1:17" x14ac:dyDescent="0.3">
      <c r="A93" s="13">
        <v>45082</v>
      </c>
      <c r="B93" s="13" t="str">
        <f t="shared" si="11"/>
        <v>June</v>
      </c>
      <c r="C93" s="13" t="str">
        <f t="shared" si="12"/>
        <v>2023-06</v>
      </c>
      <c r="D93" s="8">
        <v>68</v>
      </c>
      <c r="E93" s="8">
        <v>107</v>
      </c>
      <c r="F93" s="8">
        <v>102</v>
      </c>
      <c r="G93" s="8">
        <v>6523</v>
      </c>
      <c r="H93" s="8">
        <v>189</v>
      </c>
      <c r="I93" s="14">
        <f t="shared" si="13"/>
        <v>6630</v>
      </c>
      <c r="J93" s="14">
        <f t="shared" si="14"/>
        <v>-87</v>
      </c>
      <c r="K93" s="15">
        <f t="shared" si="15"/>
        <v>3.0165912518853697E-4</v>
      </c>
      <c r="L93" s="16" t="str">
        <f t="shared" si="16"/>
        <v>Valid</v>
      </c>
      <c r="M93" s="16" t="str">
        <f t="shared" si="17"/>
        <v>Valid</v>
      </c>
      <c r="N93" s="17" t="str">
        <f t="shared" si="18"/>
        <v>Stable/Reducing</v>
      </c>
      <c r="O93" s="16">
        <f t="shared" si="19"/>
        <v>1.8529411764705883</v>
      </c>
      <c r="P93" s="14">
        <f t="shared" si="21"/>
        <v>6424.5714285714284</v>
      </c>
      <c r="Q93" s="16">
        <f t="shared" si="20"/>
        <v>2918.4580782596145</v>
      </c>
    </row>
    <row r="94" spans="1:17" x14ac:dyDescent="0.3">
      <c r="A94" s="13">
        <v>45083</v>
      </c>
      <c r="B94" s="13" t="str">
        <f t="shared" si="11"/>
        <v>June</v>
      </c>
      <c r="C94" s="13" t="str">
        <f t="shared" si="12"/>
        <v>2023-06</v>
      </c>
      <c r="D94" s="8">
        <v>92</v>
      </c>
      <c r="E94" s="8">
        <v>124</v>
      </c>
      <c r="F94" s="8">
        <v>93</v>
      </c>
      <c r="G94" s="8">
        <v>6508</v>
      </c>
      <c r="H94" s="8">
        <v>187</v>
      </c>
      <c r="I94" s="14">
        <f t="shared" si="13"/>
        <v>6632</v>
      </c>
      <c r="J94" s="14">
        <f t="shared" si="14"/>
        <v>-94</v>
      </c>
      <c r="K94" s="15">
        <f t="shared" si="15"/>
        <v>1.9601930036188178E-3</v>
      </c>
      <c r="L94" s="16" t="str">
        <f t="shared" si="16"/>
        <v>Valid</v>
      </c>
      <c r="M94" s="16" t="str">
        <f t="shared" si="17"/>
        <v>Valid</v>
      </c>
      <c r="N94" s="17" t="str">
        <f t="shared" si="18"/>
        <v>Stable/Reducing</v>
      </c>
      <c r="O94" s="16">
        <f t="shared" si="19"/>
        <v>2.010752688172043</v>
      </c>
      <c r="P94" s="14">
        <f t="shared" si="21"/>
        <v>6357.7142857142853</v>
      </c>
      <c r="Q94" s="16">
        <f t="shared" si="20"/>
        <v>2918.4580782596145</v>
      </c>
    </row>
    <row r="95" spans="1:17" x14ac:dyDescent="0.3">
      <c r="A95" s="13">
        <v>45084</v>
      </c>
      <c r="B95" s="13" t="str">
        <f t="shared" si="11"/>
        <v>June</v>
      </c>
      <c r="C95" s="13" t="str">
        <f t="shared" si="12"/>
        <v>2023-06</v>
      </c>
      <c r="D95" s="8">
        <v>113</v>
      </c>
      <c r="E95" s="8">
        <v>162</v>
      </c>
      <c r="F95" s="8">
        <v>107</v>
      </c>
      <c r="G95" s="8">
        <v>6483</v>
      </c>
      <c r="H95" s="8">
        <v>208</v>
      </c>
      <c r="I95" s="14">
        <f t="shared" si="13"/>
        <v>6645</v>
      </c>
      <c r="J95" s="14">
        <f t="shared" si="14"/>
        <v>-101</v>
      </c>
      <c r="K95" s="15">
        <f t="shared" si="15"/>
        <v>-4.514672686230248E-4</v>
      </c>
      <c r="L95" s="16" t="str">
        <f t="shared" si="16"/>
        <v>Valid</v>
      </c>
      <c r="M95" s="16" t="str">
        <f t="shared" si="17"/>
        <v>Valid</v>
      </c>
      <c r="N95" s="17" t="str">
        <f t="shared" si="18"/>
        <v>Stable/Reducing</v>
      </c>
      <c r="O95" s="16">
        <f t="shared" si="19"/>
        <v>1.9439252336448598</v>
      </c>
      <c r="P95" s="14">
        <f t="shared" si="21"/>
        <v>6283.5714285714284</v>
      </c>
      <c r="Q95" s="16">
        <f t="shared" si="20"/>
        <v>2918.4580782596145</v>
      </c>
    </row>
    <row r="96" spans="1:17" x14ac:dyDescent="0.3">
      <c r="A96" s="13">
        <v>45085</v>
      </c>
      <c r="B96" s="13" t="str">
        <f t="shared" si="11"/>
        <v>June</v>
      </c>
      <c r="C96" s="13" t="str">
        <f t="shared" si="12"/>
        <v>2023-06</v>
      </c>
      <c r="D96" s="8">
        <v>106</v>
      </c>
      <c r="E96" s="8">
        <v>196</v>
      </c>
      <c r="F96" s="8">
        <v>131</v>
      </c>
      <c r="G96" s="8">
        <v>6446</v>
      </c>
      <c r="H96" s="8">
        <v>255</v>
      </c>
      <c r="I96" s="14">
        <f t="shared" si="13"/>
        <v>6642</v>
      </c>
      <c r="J96" s="14">
        <f t="shared" si="14"/>
        <v>-124</v>
      </c>
      <c r="K96" s="15">
        <f t="shared" si="15"/>
        <v>-7.2719060523938575E-2</v>
      </c>
      <c r="L96" s="16" t="str">
        <f t="shared" si="16"/>
        <v>Valid</v>
      </c>
      <c r="M96" s="16" t="str">
        <f t="shared" si="17"/>
        <v>Valid</v>
      </c>
      <c r="N96" s="17" t="str">
        <f t="shared" si="18"/>
        <v>Stable/Reducing</v>
      </c>
      <c r="O96" s="16">
        <f t="shared" si="19"/>
        <v>1.9465648854961832</v>
      </c>
      <c r="P96" s="14">
        <f t="shared" si="21"/>
        <v>6152.8571428571431</v>
      </c>
      <c r="Q96" s="16">
        <f t="shared" si="20"/>
        <v>2918.4580782596145</v>
      </c>
    </row>
    <row r="97" spans="1:17" x14ac:dyDescent="0.3">
      <c r="A97" s="13">
        <v>45088</v>
      </c>
      <c r="B97" s="13" t="str">
        <f t="shared" si="11"/>
        <v>June</v>
      </c>
      <c r="C97" s="13" t="str">
        <f t="shared" si="12"/>
        <v>2023-06</v>
      </c>
      <c r="D97" s="8">
        <v>86</v>
      </c>
      <c r="E97" s="8">
        <v>152</v>
      </c>
      <c r="F97" s="8">
        <v>168</v>
      </c>
      <c r="G97" s="8">
        <v>6007</v>
      </c>
      <c r="H97" s="8">
        <v>238</v>
      </c>
      <c r="I97" s="14">
        <f t="shared" si="13"/>
        <v>6159</v>
      </c>
      <c r="J97" s="14">
        <f t="shared" si="14"/>
        <v>-70</v>
      </c>
      <c r="K97" s="15">
        <f t="shared" si="15"/>
        <v>-3.2472804026627698E-3</v>
      </c>
      <c r="L97" s="16" t="str">
        <f t="shared" si="16"/>
        <v>Invalid</v>
      </c>
      <c r="M97" s="16" t="str">
        <f t="shared" si="17"/>
        <v>Valid</v>
      </c>
      <c r="N97" s="17" t="str">
        <f t="shared" si="18"/>
        <v>Stable/Reducing</v>
      </c>
      <c r="O97" s="16">
        <f t="shared" si="19"/>
        <v>1.4166666666666667</v>
      </c>
      <c r="P97" s="14">
        <f t="shared" si="21"/>
        <v>6055</v>
      </c>
      <c r="Q97" s="16">
        <f t="shared" si="20"/>
        <v>2918.4580782596145</v>
      </c>
    </row>
    <row r="98" spans="1:17" x14ac:dyDescent="0.3">
      <c r="A98" s="13">
        <v>45089</v>
      </c>
      <c r="B98" s="13" t="str">
        <f t="shared" si="11"/>
        <v>June</v>
      </c>
      <c r="C98" s="13" t="str">
        <f t="shared" si="12"/>
        <v>2023-06</v>
      </c>
      <c r="D98" s="8">
        <v>84</v>
      </c>
      <c r="E98" s="8">
        <v>118</v>
      </c>
      <c r="F98" s="8">
        <v>136</v>
      </c>
      <c r="G98" s="8">
        <v>6021</v>
      </c>
      <c r="H98" s="8">
        <v>177</v>
      </c>
      <c r="I98" s="14">
        <f t="shared" si="13"/>
        <v>6139</v>
      </c>
      <c r="J98" s="14">
        <f t="shared" si="14"/>
        <v>-41</v>
      </c>
      <c r="K98" s="15">
        <f t="shared" si="15"/>
        <v>-2.2805017103762829E-3</v>
      </c>
      <c r="L98" s="16" t="str">
        <f t="shared" si="16"/>
        <v>Invalid</v>
      </c>
      <c r="M98" s="16" t="str">
        <f t="shared" si="17"/>
        <v>Valid</v>
      </c>
      <c r="N98" s="17" t="str">
        <f t="shared" si="18"/>
        <v>Stable/Reducing</v>
      </c>
      <c r="O98" s="16">
        <f t="shared" si="19"/>
        <v>1.3014705882352942</v>
      </c>
      <c r="P98" s="14">
        <f t="shared" si="21"/>
        <v>6049.1428571428569</v>
      </c>
      <c r="Q98" s="16">
        <f t="shared" si="20"/>
        <v>2918.4580782596145</v>
      </c>
    </row>
    <row r="99" spans="1:17" x14ac:dyDescent="0.3">
      <c r="A99" s="13">
        <v>45090</v>
      </c>
      <c r="B99" s="13" t="str">
        <f t="shared" si="11"/>
        <v>June</v>
      </c>
      <c r="C99" s="13" t="str">
        <f t="shared" si="12"/>
        <v>2023-06</v>
      </c>
      <c r="D99" s="8">
        <v>59</v>
      </c>
      <c r="E99" s="8">
        <v>64</v>
      </c>
      <c r="F99" s="8">
        <v>117</v>
      </c>
      <c r="G99" s="8">
        <v>6061</v>
      </c>
      <c r="H99" s="8">
        <v>146</v>
      </c>
      <c r="I99" s="14">
        <f t="shared" si="13"/>
        <v>6125</v>
      </c>
      <c r="J99" s="14">
        <f t="shared" si="14"/>
        <v>-29</v>
      </c>
      <c r="K99" s="15">
        <f t="shared" si="15"/>
        <v>6.0408163265306125E-3</v>
      </c>
      <c r="L99" s="16" t="str">
        <f t="shared" si="16"/>
        <v>Invalid</v>
      </c>
      <c r="M99" s="16" t="str">
        <f t="shared" si="17"/>
        <v>Valid</v>
      </c>
      <c r="N99" s="17" t="str">
        <f t="shared" si="18"/>
        <v>Stable/Reducing</v>
      </c>
      <c r="O99" s="16">
        <f t="shared" si="19"/>
        <v>1.2478632478632479</v>
      </c>
      <c r="P99" s="14">
        <f t="shared" si="21"/>
        <v>6056.4285714285716</v>
      </c>
      <c r="Q99" s="16">
        <f t="shared" si="20"/>
        <v>2918.4580782596145</v>
      </c>
    </row>
    <row r="100" spans="1:17" x14ac:dyDescent="0.3">
      <c r="A100" s="13">
        <v>45091</v>
      </c>
      <c r="B100" s="13" t="str">
        <f t="shared" si="11"/>
        <v>June</v>
      </c>
      <c r="C100" s="13" t="str">
        <f t="shared" si="12"/>
        <v>2023-06</v>
      </c>
      <c r="D100" s="8">
        <v>62</v>
      </c>
      <c r="E100" s="8">
        <v>97</v>
      </c>
      <c r="F100" s="8">
        <v>52</v>
      </c>
      <c r="G100" s="8">
        <v>6065</v>
      </c>
      <c r="H100" s="8">
        <v>167</v>
      </c>
      <c r="I100" s="14">
        <f t="shared" si="13"/>
        <v>6162</v>
      </c>
      <c r="J100" s="14">
        <f t="shared" si="14"/>
        <v>-115</v>
      </c>
      <c r="K100" s="15">
        <f t="shared" si="15"/>
        <v>-7.9519636481661798E-3</v>
      </c>
      <c r="L100" s="16" t="str">
        <f t="shared" si="16"/>
        <v>Valid</v>
      </c>
      <c r="M100" s="16" t="str">
        <f t="shared" si="17"/>
        <v>Valid</v>
      </c>
      <c r="N100" s="17" t="str">
        <f t="shared" si="18"/>
        <v>Stable/Reducing</v>
      </c>
      <c r="O100" s="16">
        <f t="shared" si="19"/>
        <v>3.2115384615384617</v>
      </c>
      <c r="P100" s="14">
        <f t="shared" si="21"/>
        <v>6034.1428571428569</v>
      </c>
      <c r="Q100" s="16">
        <f t="shared" si="20"/>
        <v>2918.4580782596145</v>
      </c>
    </row>
    <row r="101" spans="1:17" x14ac:dyDescent="0.3">
      <c r="A101" s="13">
        <v>45092</v>
      </c>
      <c r="B101" s="13" t="str">
        <f t="shared" si="11"/>
        <v>June</v>
      </c>
      <c r="C101" s="13" t="str">
        <f t="shared" si="12"/>
        <v>2023-06</v>
      </c>
      <c r="D101" s="8">
        <v>91</v>
      </c>
      <c r="E101" s="8">
        <v>75</v>
      </c>
      <c r="F101" s="8">
        <v>97</v>
      </c>
      <c r="G101" s="8">
        <v>6038</v>
      </c>
      <c r="H101" s="8">
        <v>272</v>
      </c>
      <c r="I101" s="14">
        <f t="shared" si="13"/>
        <v>6113</v>
      </c>
      <c r="J101" s="14">
        <f t="shared" si="14"/>
        <v>-175</v>
      </c>
      <c r="K101" s="15">
        <f t="shared" si="15"/>
        <v>-6.2653361688205469E-2</v>
      </c>
      <c r="L101" s="16" t="str">
        <f t="shared" si="16"/>
        <v>Invalid</v>
      </c>
      <c r="M101" s="16" t="str">
        <f t="shared" si="17"/>
        <v>Valid</v>
      </c>
      <c r="N101" s="17" t="str">
        <f t="shared" si="18"/>
        <v>Stable/Reducing</v>
      </c>
      <c r="O101" s="16">
        <f t="shared" si="19"/>
        <v>2.804123711340206</v>
      </c>
      <c r="P101" s="14">
        <f t="shared" si="21"/>
        <v>6022.1428571428569</v>
      </c>
      <c r="Q101" s="16">
        <f t="shared" si="20"/>
        <v>2918.4580782596145</v>
      </c>
    </row>
    <row r="102" spans="1:17" x14ac:dyDescent="0.3">
      <c r="A102" s="13">
        <v>45096</v>
      </c>
      <c r="B102" s="13" t="str">
        <f t="shared" si="11"/>
        <v>June</v>
      </c>
      <c r="C102" s="13" t="str">
        <f t="shared" si="12"/>
        <v>2023-06</v>
      </c>
      <c r="D102" s="8">
        <v>29</v>
      </c>
      <c r="E102" s="8">
        <v>51</v>
      </c>
      <c r="F102" s="8">
        <v>11</v>
      </c>
      <c r="G102" s="8">
        <v>5679</v>
      </c>
      <c r="H102" s="8">
        <v>142</v>
      </c>
      <c r="I102" s="14">
        <f t="shared" si="13"/>
        <v>5730</v>
      </c>
      <c r="J102" s="14">
        <f t="shared" si="14"/>
        <v>-131</v>
      </c>
      <c r="K102" s="15">
        <f t="shared" si="15"/>
        <v>3.9616055846422339E-2</v>
      </c>
      <c r="L102" s="16" t="str">
        <f t="shared" si="16"/>
        <v>Valid</v>
      </c>
      <c r="M102" s="16" t="str">
        <f t="shared" si="17"/>
        <v>Valid</v>
      </c>
      <c r="N102" s="17" t="str">
        <f t="shared" si="18"/>
        <v>Stable/Reducing</v>
      </c>
      <c r="O102" s="16">
        <f t="shared" si="19"/>
        <v>12.909090909090908</v>
      </c>
      <c r="P102" s="14">
        <f t="shared" si="21"/>
        <v>6026.2857142857147</v>
      </c>
      <c r="Q102" s="16">
        <f t="shared" si="20"/>
        <v>2918.4580782596145</v>
      </c>
    </row>
    <row r="103" spans="1:17" x14ac:dyDescent="0.3">
      <c r="A103" s="13">
        <v>45097</v>
      </c>
      <c r="B103" s="13" t="str">
        <f t="shared" si="11"/>
        <v>June</v>
      </c>
      <c r="C103" s="13" t="str">
        <f t="shared" si="12"/>
        <v>2023-06</v>
      </c>
      <c r="D103" s="8">
        <v>33</v>
      </c>
      <c r="E103" s="8">
        <v>53</v>
      </c>
      <c r="F103" s="8">
        <v>34</v>
      </c>
      <c r="G103" s="8">
        <v>5904</v>
      </c>
      <c r="H103" s="8">
        <v>134</v>
      </c>
      <c r="I103" s="14">
        <f t="shared" si="13"/>
        <v>5957</v>
      </c>
      <c r="J103" s="14">
        <f t="shared" si="14"/>
        <v>-100</v>
      </c>
      <c r="K103" s="15">
        <f t="shared" si="15"/>
        <v>2.7027027027027029E-2</v>
      </c>
      <c r="L103" s="16" t="str">
        <f t="shared" si="16"/>
        <v>Valid</v>
      </c>
      <c r="M103" s="16" t="str">
        <f t="shared" si="17"/>
        <v>Valid</v>
      </c>
      <c r="N103" s="17" t="str">
        <f t="shared" si="18"/>
        <v>Stable/Reducing</v>
      </c>
      <c r="O103" s="16">
        <f t="shared" si="19"/>
        <v>3.9411764705882355</v>
      </c>
      <c r="P103" s="14">
        <f t="shared" si="21"/>
        <v>6093.1428571428569</v>
      </c>
      <c r="Q103" s="16">
        <f t="shared" si="20"/>
        <v>2918.4580782596145</v>
      </c>
    </row>
    <row r="104" spans="1:17" x14ac:dyDescent="0.3">
      <c r="A104" s="13">
        <v>45098</v>
      </c>
      <c r="B104" s="13" t="str">
        <f t="shared" si="11"/>
        <v>June</v>
      </c>
      <c r="C104" s="13" t="str">
        <f t="shared" si="12"/>
        <v>2023-06</v>
      </c>
      <c r="D104" s="8">
        <v>93</v>
      </c>
      <c r="E104" s="8">
        <v>196</v>
      </c>
      <c r="F104" s="8">
        <v>169</v>
      </c>
      <c r="G104" s="8">
        <v>5922</v>
      </c>
      <c r="H104" s="8">
        <v>149</v>
      </c>
      <c r="I104" s="14">
        <f t="shared" si="13"/>
        <v>6118</v>
      </c>
      <c r="J104" s="14">
        <f t="shared" si="14"/>
        <v>20</v>
      </c>
      <c r="K104" s="15">
        <f t="shared" si="15"/>
        <v>1.1768551814318405E-2</v>
      </c>
      <c r="L104" s="16" t="str">
        <f t="shared" si="16"/>
        <v>Valid</v>
      </c>
      <c r="M104" s="16" t="str">
        <f t="shared" si="17"/>
        <v>Valid</v>
      </c>
      <c r="N104" s="17" t="str">
        <f t="shared" si="18"/>
        <v>Increasing Pressure</v>
      </c>
      <c r="O104" s="16">
        <f t="shared" si="19"/>
        <v>0.88165680473372776</v>
      </c>
      <c r="P104" s="14">
        <f t="shared" si="21"/>
        <v>6138</v>
      </c>
      <c r="Q104" s="16">
        <f t="shared" si="20"/>
        <v>2918.4580782596145</v>
      </c>
    </row>
    <row r="105" spans="1:17" x14ac:dyDescent="0.3">
      <c r="A105" s="13">
        <v>45099</v>
      </c>
      <c r="B105" s="13" t="str">
        <f t="shared" si="11"/>
        <v>June</v>
      </c>
      <c r="C105" s="13" t="str">
        <f t="shared" si="12"/>
        <v>2023-06</v>
      </c>
      <c r="D105" s="8">
        <v>124</v>
      </c>
      <c r="E105" s="8">
        <v>234</v>
      </c>
      <c r="F105" s="8">
        <v>161</v>
      </c>
      <c r="G105" s="8">
        <v>5956</v>
      </c>
      <c r="H105" s="8">
        <v>207</v>
      </c>
      <c r="I105" s="14">
        <f t="shared" si="13"/>
        <v>6190</v>
      </c>
      <c r="J105" s="14">
        <f t="shared" si="14"/>
        <v>-46</v>
      </c>
      <c r="K105" s="15">
        <f t="shared" si="15"/>
        <v>-3.5702746365105009E-2</v>
      </c>
      <c r="L105" s="16" t="str">
        <f t="shared" si="16"/>
        <v>Valid</v>
      </c>
      <c r="M105" s="16" t="str">
        <f t="shared" si="17"/>
        <v>Valid</v>
      </c>
      <c r="N105" s="17" t="str">
        <f t="shared" si="18"/>
        <v>Stable/Reducing</v>
      </c>
      <c r="O105" s="16">
        <f t="shared" si="19"/>
        <v>1.2857142857142858</v>
      </c>
      <c r="P105" s="14">
        <f t="shared" si="21"/>
        <v>6148</v>
      </c>
      <c r="Q105" s="16">
        <f t="shared" si="20"/>
        <v>2918.4580782596145</v>
      </c>
    </row>
    <row r="106" spans="1:17" x14ac:dyDescent="0.3">
      <c r="A106" s="13">
        <v>45102</v>
      </c>
      <c r="B106" s="13" t="str">
        <f t="shared" si="11"/>
        <v>June</v>
      </c>
      <c r="C106" s="13" t="str">
        <f t="shared" si="12"/>
        <v>2023-06</v>
      </c>
      <c r="D106" s="8">
        <v>92</v>
      </c>
      <c r="E106" s="8">
        <v>203</v>
      </c>
      <c r="F106" s="8">
        <v>173</v>
      </c>
      <c r="G106" s="8">
        <v>5766</v>
      </c>
      <c r="H106" s="8">
        <v>263</v>
      </c>
      <c r="I106" s="14">
        <f t="shared" si="13"/>
        <v>5969</v>
      </c>
      <c r="J106" s="14">
        <f t="shared" si="14"/>
        <v>-90</v>
      </c>
      <c r="K106" s="15">
        <f t="shared" si="15"/>
        <v>1.8261015245434747E-2</v>
      </c>
      <c r="L106" s="16" t="str">
        <f t="shared" si="16"/>
        <v>Valid</v>
      </c>
      <c r="M106" s="16" t="str">
        <f t="shared" si="17"/>
        <v>Valid</v>
      </c>
      <c r="N106" s="17" t="str">
        <f t="shared" si="18"/>
        <v>Stable/Reducing</v>
      </c>
      <c r="O106" s="16">
        <f t="shared" si="19"/>
        <v>1.5202312138728324</v>
      </c>
      <c r="P106" s="14">
        <f t="shared" si="21"/>
        <v>6183.8571428571431</v>
      </c>
      <c r="Q106" s="16">
        <f t="shared" si="20"/>
        <v>2918.4580782596145</v>
      </c>
    </row>
    <row r="107" spans="1:17" x14ac:dyDescent="0.3">
      <c r="A107" s="13">
        <v>45103</v>
      </c>
      <c r="B107" s="13" t="str">
        <f t="shared" si="11"/>
        <v>June</v>
      </c>
      <c r="C107" s="13" t="str">
        <f t="shared" si="12"/>
        <v>2023-06</v>
      </c>
      <c r="D107" s="8">
        <v>186</v>
      </c>
      <c r="E107" s="8">
        <v>259</v>
      </c>
      <c r="F107" s="8">
        <v>172</v>
      </c>
      <c r="G107" s="8">
        <v>5819</v>
      </c>
      <c r="H107" s="8">
        <v>174</v>
      </c>
      <c r="I107" s="14">
        <f t="shared" si="13"/>
        <v>6078</v>
      </c>
      <c r="J107" s="14">
        <f t="shared" si="14"/>
        <v>-2</v>
      </c>
      <c r="K107" s="15">
        <f t="shared" si="15"/>
        <v>1.0529779532741033E-2</v>
      </c>
      <c r="L107" s="16" t="str">
        <f t="shared" si="16"/>
        <v>Valid</v>
      </c>
      <c r="M107" s="16" t="str">
        <f t="shared" si="17"/>
        <v>Valid</v>
      </c>
      <c r="N107" s="17" t="str">
        <f t="shared" si="18"/>
        <v>Stable/Reducing</v>
      </c>
      <c r="O107" s="16">
        <f t="shared" si="19"/>
        <v>1.0116279069767442</v>
      </c>
      <c r="P107" s="14">
        <f t="shared" si="21"/>
        <v>6246.5714285714284</v>
      </c>
      <c r="Q107" s="16">
        <f t="shared" si="20"/>
        <v>2918.4580782596145</v>
      </c>
    </row>
    <row r="108" spans="1:17" x14ac:dyDescent="0.3">
      <c r="A108" s="13">
        <v>45104</v>
      </c>
      <c r="B108" s="13" t="str">
        <f t="shared" si="11"/>
        <v>June</v>
      </c>
      <c r="C108" s="13" t="str">
        <f t="shared" si="12"/>
        <v>2023-06</v>
      </c>
      <c r="D108" s="8">
        <v>154</v>
      </c>
      <c r="E108" s="8">
        <v>225</v>
      </c>
      <c r="F108" s="8">
        <v>220</v>
      </c>
      <c r="G108" s="8">
        <v>5917</v>
      </c>
      <c r="H108" s="8">
        <v>155</v>
      </c>
      <c r="I108" s="14">
        <f t="shared" si="13"/>
        <v>6142</v>
      </c>
      <c r="J108" s="14">
        <f t="shared" si="14"/>
        <v>65</v>
      </c>
      <c r="K108" s="15">
        <f t="shared" si="15"/>
        <v>9.1175512862259854E-3</v>
      </c>
      <c r="L108" s="16" t="str">
        <f t="shared" si="16"/>
        <v>Valid</v>
      </c>
      <c r="M108" s="16" t="str">
        <f t="shared" si="17"/>
        <v>Valid</v>
      </c>
      <c r="N108" s="17" t="str">
        <f t="shared" si="18"/>
        <v>Increasing Pressure</v>
      </c>
      <c r="O108" s="16">
        <f t="shared" si="19"/>
        <v>0.70454545454545459</v>
      </c>
      <c r="P108" s="14">
        <f t="shared" si="21"/>
        <v>6292.7142857142853</v>
      </c>
      <c r="Q108" s="16">
        <f t="shared" si="20"/>
        <v>2918.4580782596145</v>
      </c>
    </row>
    <row r="109" spans="1:17" x14ac:dyDescent="0.3">
      <c r="A109" s="13">
        <v>45105</v>
      </c>
      <c r="B109" s="13" t="str">
        <f t="shared" si="11"/>
        <v>June</v>
      </c>
      <c r="C109" s="13" t="str">
        <f t="shared" si="12"/>
        <v>2023-06</v>
      </c>
      <c r="D109" s="8">
        <v>91</v>
      </c>
      <c r="E109" s="8">
        <v>199</v>
      </c>
      <c r="F109" s="8">
        <v>172</v>
      </c>
      <c r="G109" s="8">
        <v>5999</v>
      </c>
      <c r="H109" s="8">
        <v>174</v>
      </c>
      <c r="I109" s="14">
        <f t="shared" si="13"/>
        <v>6198</v>
      </c>
      <c r="J109" s="14">
        <f t="shared" si="14"/>
        <v>-2</v>
      </c>
      <c r="K109" s="15">
        <f t="shared" si="15"/>
        <v>1.1777992900935785E-2</v>
      </c>
      <c r="L109" s="16" t="str">
        <f t="shared" si="16"/>
        <v>Valid</v>
      </c>
      <c r="M109" s="16" t="str">
        <f t="shared" si="17"/>
        <v>Valid</v>
      </c>
      <c r="N109" s="17" t="str">
        <f t="shared" si="18"/>
        <v>Stable/Reducing</v>
      </c>
      <c r="O109" s="16">
        <f t="shared" si="19"/>
        <v>1.0116279069767442</v>
      </c>
      <c r="P109" s="14">
        <f t="shared" si="21"/>
        <v>6330.1428571428569</v>
      </c>
      <c r="Q109" s="16">
        <f t="shared" si="20"/>
        <v>2918.4580782596145</v>
      </c>
    </row>
    <row r="110" spans="1:17" x14ac:dyDescent="0.3">
      <c r="A110" s="13">
        <v>45106</v>
      </c>
      <c r="B110" s="13" t="str">
        <f t="shared" si="11"/>
        <v>June</v>
      </c>
      <c r="C110" s="13" t="str">
        <f t="shared" si="12"/>
        <v>2023-06</v>
      </c>
      <c r="D110" s="8">
        <v>81</v>
      </c>
      <c r="E110" s="8">
        <v>213</v>
      </c>
      <c r="F110" s="8">
        <v>153</v>
      </c>
      <c r="G110" s="8">
        <v>6058</v>
      </c>
      <c r="H110" s="8">
        <v>213</v>
      </c>
      <c r="I110" s="14">
        <f t="shared" si="13"/>
        <v>6271</v>
      </c>
      <c r="J110" s="14">
        <f t="shared" si="14"/>
        <v>-60</v>
      </c>
      <c r="K110" s="15">
        <f t="shared" si="15"/>
        <v>-1.3235528623823951E-2</v>
      </c>
      <c r="L110" s="16" t="str">
        <f t="shared" si="16"/>
        <v>Valid</v>
      </c>
      <c r="M110" s="16" t="str">
        <f t="shared" si="17"/>
        <v>Valid</v>
      </c>
      <c r="N110" s="17" t="str">
        <f t="shared" si="18"/>
        <v>Stable/Reducing</v>
      </c>
      <c r="O110" s="16">
        <f t="shared" si="19"/>
        <v>1.392156862745098</v>
      </c>
      <c r="P110" s="14">
        <f t="shared" si="21"/>
        <v>6385.4285714285716</v>
      </c>
      <c r="Q110" s="16">
        <f t="shared" si="20"/>
        <v>2918.4580782596145</v>
      </c>
    </row>
    <row r="111" spans="1:17" x14ac:dyDescent="0.3">
      <c r="A111" s="13">
        <v>45109</v>
      </c>
      <c r="B111" s="13" t="str">
        <f t="shared" si="11"/>
        <v>July</v>
      </c>
      <c r="C111" s="13" t="str">
        <f t="shared" si="12"/>
        <v>2023-07</v>
      </c>
      <c r="D111" s="8">
        <v>209</v>
      </c>
      <c r="E111" s="8">
        <v>285</v>
      </c>
      <c r="F111" s="8">
        <v>184</v>
      </c>
      <c r="G111" s="8">
        <v>5903</v>
      </c>
      <c r="H111" s="8">
        <v>309</v>
      </c>
      <c r="I111" s="14">
        <f t="shared" si="13"/>
        <v>6188</v>
      </c>
      <c r="J111" s="14">
        <f t="shared" si="14"/>
        <v>-125</v>
      </c>
      <c r="K111" s="15">
        <f t="shared" si="15"/>
        <v>4.0885585003232063E-2</v>
      </c>
      <c r="L111" s="16" t="str">
        <f t="shared" si="16"/>
        <v>Valid</v>
      </c>
      <c r="M111" s="16" t="str">
        <f t="shared" si="17"/>
        <v>Valid</v>
      </c>
      <c r="N111" s="17" t="str">
        <f t="shared" si="18"/>
        <v>Stable/Reducing</v>
      </c>
      <c r="O111" s="16">
        <f t="shared" si="19"/>
        <v>1.6793478260869565</v>
      </c>
      <c r="P111" s="14">
        <f t="shared" si="21"/>
        <v>6448.7142857142853</v>
      </c>
      <c r="Q111" s="16">
        <f t="shared" si="20"/>
        <v>2918.4580782596145</v>
      </c>
    </row>
    <row r="112" spans="1:17" x14ac:dyDescent="0.3">
      <c r="A112" s="13">
        <v>45111</v>
      </c>
      <c r="B112" s="13" t="str">
        <f t="shared" si="11"/>
        <v>July</v>
      </c>
      <c r="C112" s="13" t="str">
        <f t="shared" si="12"/>
        <v>2023-07</v>
      </c>
      <c r="D112" s="8">
        <v>184</v>
      </c>
      <c r="E112" s="8">
        <v>314</v>
      </c>
      <c r="F112" s="8">
        <v>217</v>
      </c>
      <c r="G112" s="8">
        <v>6127</v>
      </c>
      <c r="H112" s="8">
        <v>124</v>
      </c>
      <c r="I112" s="14">
        <f t="shared" si="13"/>
        <v>6441</v>
      </c>
      <c r="J112" s="14">
        <f t="shared" si="14"/>
        <v>93</v>
      </c>
      <c r="K112" s="15">
        <f t="shared" si="15"/>
        <v>-5.1234280391243593E-3</v>
      </c>
      <c r="L112" s="16" t="str">
        <f t="shared" si="16"/>
        <v>Valid</v>
      </c>
      <c r="M112" s="16" t="str">
        <f t="shared" si="17"/>
        <v>Valid</v>
      </c>
      <c r="N112" s="17" t="str">
        <f t="shared" si="18"/>
        <v>Increasing Pressure</v>
      </c>
      <c r="O112" s="16">
        <f t="shared" si="19"/>
        <v>0.5714285714285714</v>
      </c>
      <c r="P112" s="14">
        <f t="shared" si="21"/>
        <v>6518.8571428571431</v>
      </c>
      <c r="Q112" s="16">
        <f t="shared" si="20"/>
        <v>2918.4580782596145</v>
      </c>
    </row>
    <row r="113" spans="1:17" x14ac:dyDescent="0.3">
      <c r="A113" s="13">
        <v>45112</v>
      </c>
      <c r="B113" s="13" t="str">
        <f t="shared" si="11"/>
        <v>July</v>
      </c>
      <c r="C113" s="13" t="str">
        <f t="shared" si="12"/>
        <v>2023-07</v>
      </c>
      <c r="D113" s="8">
        <v>107</v>
      </c>
      <c r="E113" s="8">
        <v>215</v>
      </c>
      <c r="F113" s="8">
        <v>230</v>
      </c>
      <c r="G113" s="8">
        <v>6193</v>
      </c>
      <c r="H113" s="8">
        <v>167</v>
      </c>
      <c r="I113" s="14">
        <f t="shared" si="13"/>
        <v>6408</v>
      </c>
      <c r="J113" s="14">
        <f t="shared" si="14"/>
        <v>63</v>
      </c>
      <c r="K113" s="15">
        <f t="shared" si="15"/>
        <v>-1.0923845193508116E-3</v>
      </c>
      <c r="L113" s="16" t="str">
        <f t="shared" si="16"/>
        <v>Invalid</v>
      </c>
      <c r="M113" s="16" t="str">
        <f t="shared" si="17"/>
        <v>Valid</v>
      </c>
      <c r="N113" s="17" t="str">
        <f t="shared" si="18"/>
        <v>Increasing Pressure</v>
      </c>
      <c r="O113" s="16">
        <f t="shared" si="19"/>
        <v>0.72608695652173916</v>
      </c>
      <c r="P113" s="14">
        <f t="shared" si="21"/>
        <v>6574.5714285714284</v>
      </c>
      <c r="Q113" s="16">
        <f t="shared" si="20"/>
        <v>2918.4580782596145</v>
      </c>
    </row>
    <row r="114" spans="1:17" x14ac:dyDescent="0.3">
      <c r="A114" s="13">
        <v>45113</v>
      </c>
      <c r="B114" s="13" t="str">
        <f t="shared" si="11"/>
        <v>July</v>
      </c>
      <c r="C114" s="13" t="str">
        <f t="shared" si="12"/>
        <v>2023-07</v>
      </c>
      <c r="D114" s="8">
        <v>101</v>
      </c>
      <c r="E114" s="8">
        <v>162</v>
      </c>
      <c r="F114" s="8">
        <v>178</v>
      </c>
      <c r="G114" s="8">
        <v>6239</v>
      </c>
      <c r="H114" s="8">
        <v>205</v>
      </c>
      <c r="I114" s="14">
        <f t="shared" si="13"/>
        <v>6401</v>
      </c>
      <c r="J114" s="14">
        <f t="shared" si="14"/>
        <v>-27</v>
      </c>
      <c r="K114" s="15">
        <f t="shared" si="15"/>
        <v>4.6867676925480396E-4</v>
      </c>
      <c r="L114" s="16" t="str">
        <f t="shared" si="16"/>
        <v>Invalid</v>
      </c>
      <c r="M114" s="16" t="str">
        <f t="shared" si="17"/>
        <v>Valid</v>
      </c>
      <c r="N114" s="17" t="str">
        <f t="shared" si="18"/>
        <v>Stable/Reducing</v>
      </c>
      <c r="O114" s="16">
        <f t="shared" si="19"/>
        <v>1.151685393258427</v>
      </c>
      <c r="P114" s="14">
        <f t="shared" si="21"/>
        <v>6613.7142857142853</v>
      </c>
      <c r="Q114" s="16">
        <f t="shared" si="20"/>
        <v>2918.4580782596145</v>
      </c>
    </row>
    <row r="115" spans="1:17" x14ac:dyDescent="0.3">
      <c r="A115" s="13">
        <v>45116</v>
      </c>
      <c r="B115" s="13" t="str">
        <f t="shared" si="11"/>
        <v>July</v>
      </c>
      <c r="C115" s="13" t="str">
        <f t="shared" si="12"/>
        <v>2023-07</v>
      </c>
      <c r="D115" s="8">
        <v>99</v>
      </c>
      <c r="E115" s="8">
        <v>190</v>
      </c>
      <c r="F115" s="8">
        <v>176</v>
      </c>
      <c r="G115" s="8">
        <v>6214</v>
      </c>
      <c r="H115" s="8">
        <v>196</v>
      </c>
      <c r="I115" s="14">
        <f t="shared" si="13"/>
        <v>6404</v>
      </c>
      <c r="J115" s="14">
        <f t="shared" si="14"/>
        <v>-20</v>
      </c>
      <c r="K115" s="15">
        <f t="shared" si="15"/>
        <v>2.8263585259212992E-2</v>
      </c>
      <c r="L115" s="16" t="str">
        <f t="shared" si="16"/>
        <v>Valid</v>
      </c>
      <c r="M115" s="16" t="str">
        <f t="shared" si="17"/>
        <v>Valid</v>
      </c>
      <c r="N115" s="17" t="str">
        <f t="shared" si="18"/>
        <v>Stable/Reducing</v>
      </c>
      <c r="O115" s="16">
        <f t="shared" si="19"/>
        <v>1.1136363636363635</v>
      </c>
      <c r="P115" s="14">
        <f t="shared" si="21"/>
        <v>6676.4285714285716</v>
      </c>
      <c r="Q115" s="16">
        <f t="shared" si="20"/>
        <v>2918.4580782596145</v>
      </c>
    </row>
    <row r="116" spans="1:17" x14ac:dyDescent="0.3">
      <c r="A116" s="13">
        <v>45117</v>
      </c>
      <c r="B116" s="13" t="str">
        <f t="shared" si="11"/>
        <v>July</v>
      </c>
      <c r="C116" s="13" t="str">
        <f t="shared" si="12"/>
        <v>2023-07</v>
      </c>
      <c r="D116" s="8">
        <v>167</v>
      </c>
      <c r="E116" s="8">
        <v>239</v>
      </c>
      <c r="F116" s="8">
        <v>166</v>
      </c>
      <c r="G116" s="8">
        <v>6346</v>
      </c>
      <c r="H116" s="8">
        <v>163</v>
      </c>
      <c r="I116" s="14">
        <f t="shared" si="13"/>
        <v>6585</v>
      </c>
      <c r="J116" s="14">
        <f t="shared" si="14"/>
        <v>3</v>
      </c>
      <c r="K116" s="15">
        <f t="shared" si="15"/>
        <v>1.958997722095672E-2</v>
      </c>
      <c r="L116" s="16" t="str">
        <f t="shared" si="16"/>
        <v>Valid</v>
      </c>
      <c r="M116" s="16" t="str">
        <f t="shared" si="17"/>
        <v>Valid</v>
      </c>
      <c r="N116" s="17" t="str">
        <f t="shared" si="18"/>
        <v>Increasing Pressure</v>
      </c>
      <c r="O116" s="16">
        <f t="shared" si="19"/>
        <v>0.98192771084337349</v>
      </c>
      <c r="P116" s="14">
        <f t="shared" si="21"/>
        <v>6784.2857142857147</v>
      </c>
      <c r="Q116" s="16">
        <f t="shared" si="20"/>
        <v>2918.4580782596145</v>
      </c>
    </row>
    <row r="117" spans="1:17" x14ac:dyDescent="0.3">
      <c r="A117" s="13">
        <v>45118</v>
      </c>
      <c r="B117" s="13" t="str">
        <f t="shared" si="11"/>
        <v>July</v>
      </c>
      <c r="C117" s="13" t="str">
        <f t="shared" si="12"/>
        <v>2023-07</v>
      </c>
      <c r="D117" s="8">
        <v>115</v>
      </c>
      <c r="E117" s="8">
        <v>216</v>
      </c>
      <c r="F117" s="8">
        <v>169</v>
      </c>
      <c r="G117" s="8">
        <v>6498</v>
      </c>
      <c r="H117" s="8">
        <v>143</v>
      </c>
      <c r="I117" s="14">
        <f t="shared" si="13"/>
        <v>6714</v>
      </c>
      <c r="J117" s="14">
        <f t="shared" si="14"/>
        <v>26</v>
      </c>
      <c r="K117" s="15">
        <f t="shared" si="15"/>
        <v>-5.2129877867143279E-3</v>
      </c>
      <c r="L117" s="16" t="str">
        <f t="shared" si="16"/>
        <v>Valid</v>
      </c>
      <c r="M117" s="16" t="str">
        <f t="shared" si="17"/>
        <v>Valid</v>
      </c>
      <c r="N117" s="17" t="str">
        <f t="shared" si="18"/>
        <v>Increasing Pressure</v>
      </c>
      <c r="O117" s="16">
        <f t="shared" si="19"/>
        <v>0.84615384615384615</v>
      </c>
      <c r="P117" s="14">
        <f t="shared" si="21"/>
        <v>6876.5714285714284</v>
      </c>
      <c r="Q117" s="16">
        <f t="shared" si="20"/>
        <v>2918.4580782596145</v>
      </c>
    </row>
    <row r="118" spans="1:17" x14ac:dyDescent="0.3">
      <c r="A118" s="13">
        <v>45119</v>
      </c>
      <c r="B118" s="13" t="str">
        <f t="shared" si="11"/>
        <v>July</v>
      </c>
      <c r="C118" s="13" t="str">
        <f t="shared" si="12"/>
        <v>2023-07</v>
      </c>
      <c r="D118" s="8">
        <v>84</v>
      </c>
      <c r="E118" s="8">
        <v>158</v>
      </c>
      <c r="F118" s="8">
        <v>193</v>
      </c>
      <c r="G118" s="8">
        <v>6521</v>
      </c>
      <c r="H118" s="8">
        <v>210</v>
      </c>
      <c r="I118" s="14">
        <f t="shared" si="13"/>
        <v>6679</v>
      </c>
      <c r="J118" s="14">
        <f t="shared" si="14"/>
        <v>-17</v>
      </c>
      <c r="K118" s="15">
        <f t="shared" si="15"/>
        <v>2.2757897888905525E-2</v>
      </c>
      <c r="L118" s="16" t="str">
        <f t="shared" si="16"/>
        <v>Invalid</v>
      </c>
      <c r="M118" s="16" t="str">
        <f t="shared" si="17"/>
        <v>Valid</v>
      </c>
      <c r="N118" s="17" t="str">
        <f t="shared" si="18"/>
        <v>Stable/Reducing</v>
      </c>
      <c r="O118" s="16">
        <f t="shared" si="19"/>
        <v>1.0880829015544042</v>
      </c>
      <c r="P118" s="14">
        <f t="shared" si="21"/>
        <v>6973.4285714285716</v>
      </c>
      <c r="Q118" s="16">
        <f t="shared" si="20"/>
        <v>2918.4580782596145</v>
      </c>
    </row>
    <row r="119" spans="1:17" x14ac:dyDescent="0.3">
      <c r="A119" s="13">
        <v>45120</v>
      </c>
      <c r="B119" s="13" t="str">
        <f t="shared" si="11"/>
        <v>July</v>
      </c>
      <c r="C119" s="13" t="str">
        <f t="shared" si="12"/>
        <v>2023-07</v>
      </c>
      <c r="D119" s="8">
        <v>130</v>
      </c>
      <c r="E119" s="8">
        <v>227</v>
      </c>
      <c r="F119" s="8">
        <v>192</v>
      </c>
      <c r="G119" s="8">
        <v>6604</v>
      </c>
      <c r="H119" s="8">
        <v>226</v>
      </c>
      <c r="I119" s="14">
        <f t="shared" si="13"/>
        <v>6831</v>
      </c>
      <c r="J119" s="14">
        <f t="shared" si="14"/>
        <v>-34</v>
      </c>
      <c r="K119" s="15">
        <f t="shared" si="15"/>
        <v>-2.1812326160152246E-2</v>
      </c>
      <c r="L119" s="16" t="str">
        <f t="shared" si="16"/>
        <v>Valid</v>
      </c>
      <c r="M119" s="16" t="str">
        <f t="shared" si="17"/>
        <v>Valid</v>
      </c>
      <c r="N119" s="17" t="str">
        <f t="shared" si="18"/>
        <v>Stable/Reducing</v>
      </c>
      <c r="O119" s="16">
        <f t="shared" si="19"/>
        <v>1.1770833333333333</v>
      </c>
      <c r="P119" s="14">
        <f t="shared" si="21"/>
        <v>7058.1428571428569</v>
      </c>
      <c r="Q119" s="16">
        <f t="shared" si="20"/>
        <v>2918.4580782596145</v>
      </c>
    </row>
    <row r="120" spans="1:17" x14ac:dyDescent="0.3">
      <c r="A120" s="13">
        <v>45123</v>
      </c>
      <c r="B120" s="13" t="str">
        <f t="shared" si="11"/>
        <v>July</v>
      </c>
      <c r="C120" s="13" t="str">
        <f t="shared" si="12"/>
        <v>2023-07</v>
      </c>
      <c r="D120" s="8">
        <v>88</v>
      </c>
      <c r="E120" s="8">
        <v>214</v>
      </c>
      <c r="F120" s="8">
        <v>160</v>
      </c>
      <c r="G120" s="8">
        <v>6468</v>
      </c>
      <c r="H120" s="8">
        <v>218</v>
      </c>
      <c r="I120" s="14">
        <f t="shared" si="13"/>
        <v>6682</v>
      </c>
      <c r="J120" s="14">
        <f t="shared" si="14"/>
        <v>-58</v>
      </c>
      <c r="K120" s="15">
        <f t="shared" si="15"/>
        <v>2.3645615085303801E-2</v>
      </c>
      <c r="L120" s="16" t="str">
        <f t="shared" si="16"/>
        <v>Valid</v>
      </c>
      <c r="M120" s="16" t="str">
        <f t="shared" si="17"/>
        <v>Valid</v>
      </c>
      <c r="N120" s="17" t="str">
        <f t="shared" si="18"/>
        <v>Stable/Reducing</v>
      </c>
      <c r="O120" s="16">
        <f t="shared" si="19"/>
        <v>1.3625</v>
      </c>
      <c r="P120" s="14">
        <f t="shared" si="21"/>
        <v>7153.7142857142853</v>
      </c>
      <c r="Q120" s="16">
        <f t="shared" si="20"/>
        <v>2918.4580782596145</v>
      </c>
    </row>
    <row r="121" spans="1:17" x14ac:dyDescent="0.3">
      <c r="A121" s="13">
        <v>45124</v>
      </c>
      <c r="B121" s="13" t="str">
        <f t="shared" si="11"/>
        <v>July</v>
      </c>
      <c r="C121" s="13" t="str">
        <f t="shared" si="12"/>
        <v>2023-07</v>
      </c>
      <c r="D121" s="8">
        <v>113</v>
      </c>
      <c r="E121" s="8">
        <v>208</v>
      </c>
      <c r="F121" s="8">
        <v>159</v>
      </c>
      <c r="G121" s="8">
        <v>6632</v>
      </c>
      <c r="H121" s="8">
        <v>160</v>
      </c>
      <c r="I121" s="14">
        <f t="shared" si="13"/>
        <v>6840</v>
      </c>
      <c r="J121" s="14">
        <f t="shared" si="14"/>
        <v>-1</v>
      </c>
      <c r="K121" s="15">
        <f t="shared" si="15"/>
        <v>4.6637426900584797E-2</v>
      </c>
      <c r="L121" s="16" t="str">
        <f t="shared" si="16"/>
        <v>Valid</v>
      </c>
      <c r="M121" s="16" t="str">
        <f t="shared" si="17"/>
        <v>Valid</v>
      </c>
      <c r="N121" s="17" t="str">
        <f t="shared" si="18"/>
        <v>Stable/Reducing</v>
      </c>
      <c r="O121" s="16">
        <f t="shared" si="19"/>
        <v>1.0062893081761006</v>
      </c>
      <c r="P121" s="14">
        <f t="shared" si="21"/>
        <v>7314</v>
      </c>
      <c r="Q121" s="16">
        <f t="shared" si="20"/>
        <v>2918.4580782596145</v>
      </c>
    </row>
    <row r="122" spans="1:17" x14ac:dyDescent="0.3">
      <c r="A122" s="13">
        <v>45125</v>
      </c>
      <c r="B122" s="13" t="str">
        <f t="shared" si="11"/>
        <v>July</v>
      </c>
      <c r="C122" s="13" t="str">
        <f t="shared" si="12"/>
        <v>2023-07</v>
      </c>
      <c r="D122" s="8">
        <v>174</v>
      </c>
      <c r="E122" s="8">
        <v>285</v>
      </c>
      <c r="F122" s="8">
        <v>150</v>
      </c>
      <c r="G122" s="8">
        <v>6874</v>
      </c>
      <c r="H122" s="8">
        <v>181</v>
      </c>
      <c r="I122" s="14">
        <f t="shared" si="13"/>
        <v>7159</v>
      </c>
      <c r="J122" s="14">
        <f t="shared" si="14"/>
        <v>-31</v>
      </c>
      <c r="K122" s="15">
        <f t="shared" si="15"/>
        <v>1.0057270568515155E-2</v>
      </c>
      <c r="L122" s="16" t="str">
        <f t="shared" si="16"/>
        <v>Valid</v>
      </c>
      <c r="M122" s="16" t="str">
        <f t="shared" si="17"/>
        <v>Valid</v>
      </c>
      <c r="N122" s="17" t="str">
        <f t="shared" si="18"/>
        <v>Stable/Reducing</v>
      </c>
      <c r="O122" s="16">
        <f t="shared" si="19"/>
        <v>1.2066666666666668</v>
      </c>
      <c r="P122" s="14">
        <f t="shared" si="21"/>
        <v>7474</v>
      </c>
      <c r="Q122" s="16">
        <f t="shared" si="20"/>
        <v>2918.4580782596145</v>
      </c>
    </row>
    <row r="123" spans="1:17" x14ac:dyDescent="0.3">
      <c r="A123" s="13">
        <v>45126</v>
      </c>
      <c r="B123" s="13" t="str">
        <f t="shared" si="11"/>
        <v>July</v>
      </c>
      <c r="C123" s="13" t="str">
        <f t="shared" si="12"/>
        <v>2023-07</v>
      </c>
      <c r="D123" s="8">
        <v>104</v>
      </c>
      <c r="E123" s="8">
        <v>230</v>
      </c>
      <c r="F123" s="8">
        <v>206</v>
      </c>
      <c r="G123" s="8">
        <v>7001</v>
      </c>
      <c r="H123" s="8">
        <v>226</v>
      </c>
      <c r="I123" s="14">
        <f t="shared" si="13"/>
        <v>7231</v>
      </c>
      <c r="J123" s="14">
        <f t="shared" si="14"/>
        <v>-20</v>
      </c>
      <c r="K123" s="15">
        <f t="shared" si="15"/>
        <v>2.2265246853823813E-2</v>
      </c>
      <c r="L123" s="16" t="str">
        <f t="shared" si="16"/>
        <v>Valid</v>
      </c>
      <c r="M123" s="16" t="str">
        <f t="shared" si="17"/>
        <v>Valid</v>
      </c>
      <c r="N123" s="17" t="str">
        <f t="shared" si="18"/>
        <v>Stable/Reducing</v>
      </c>
      <c r="O123" s="16">
        <f t="shared" si="19"/>
        <v>1.0970873786407767</v>
      </c>
      <c r="P123" s="14">
        <f t="shared" si="21"/>
        <v>7597.8571428571431</v>
      </c>
      <c r="Q123" s="16">
        <f t="shared" si="20"/>
        <v>2918.4580782596145</v>
      </c>
    </row>
    <row r="124" spans="1:17" x14ac:dyDescent="0.3">
      <c r="A124" s="13">
        <v>45127</v>
      </c>
      <c r="B124" s="13" t="str">
        <f t="shared" si="11"/>
        <v>July</v>
      </c>
      <c r="C124" s="13" t="str">
        <f t="shared" si="12"/>
        <v>2023-07</v>
      </c>
      <c r="D124" s="8">
        <v>147</v>
      </c>
      <c r="E124" s="8">
        <v>276</v>
      </c>
      <c r="F124" s="8">
        <v>214</v>
      </c>
      <c r="G124" s="8">
        <v>7116</v>
      </c>
      <c r="H124" s="8">
        <v>281</v>
      </c>
      <c r="I124" s="14">
        <f t="shared" si="13"/>
        <v>7392</v>
      </c>
      <c r="J124" s="14">
        <f t="shared" si="14"/>
        <v>-67</v>
      </c>
      <c r="K124" s="15">
        <f t="shared" si="15"/>
        <v>-1.6233766233766232E-2</v>
      </c>
      <c r="L124" s="16" t="str">
        <f t="shared" si="16"/>
        <v>Valid</v>
      </c>
      <c r="M124" s="16" t="str">
        <f t="shared" si="17"/>
        <v>Valid</v>
      </c>
      <c r="N124" s="17" t="str">
        <f t="shared" si="18"/>
        <v>Stable/Reducing</v>
      </c>
      <c r="O124" s="16">
        <f t="shared" si="19"/>
        <v>1.3130841121495327</v>
      </c>
      <c r="P124" s="14">
        <f t="shared" si="21"/>
        <v>7700.2857142857147</v>
      </c>
      <c r="Q124" s="16">
        <f t="shared" si="20"/>
        <v>2918.4580782596145</v>
      </c>
    </row>
    <row r="125" spans="1:17" x14ac:dyDescent="0.3">
      <c r="A125" s="13">
        <v>45130</v>
      </c>
      <c r="B125" s="13" t="str">
        <f t="shared" si="11"/>
        <v>July</v>
      </c>
      <c r="C125" s="13" t="str">
        <f t="shared" si="12"/>
        <v>2023-07</v>
      </c>
      <c r="D125" s="8">
        <v>108</v>
      </c>
      <c r="E125" s="8">
        <v>220</v>
      </c>
      <c r="F125" s="8">
        <v>213</v>
      </c>
      <c r="G125" s="8">
        <v>7052</v>
      </c>
      <c r="H125" s="8">
        <v>276</v>
      </c>
      <c r="I125" s="14">
        <f t="shared" si="13"/>
        <v>7272</v>
      </c>
      <c r="J125" s="14">
        <f t="shared" si="14"/>
        <v>-63</v>
      </c>
      <c r="K125" s="15">
        <f t="shared" si="15"/>
        <v>3.1353135313531351E-2</v>
      </c>
      <c r="L125" s="16" t="str">
        <f t="shared" si="16"/>
        <v>Valid</v>
      </c>
      <c r="M125" s="16" t="str">
        <f t="shared" si="17"/>
        <v>Valid</v>
      </c>
      <c r="N125" s="17" t="str">
        <f t="shared" si="18"/>
        <v>Stable/Reducing</v>
      </c>
      <c r="O125" s="16">
        <f t="shared" si="19"/>
        <v>1.295774647887324</v>
      </c>
      <c r="P125" s="14">
        <f t="shared" si="21"/>
        <v>7798</v>
      </c>
      <c r="Q125" s="16">
        <f t="shared" si="20"/>
        <v>2918.4580782596145</v>
      </c>
    </row>
    <row r="126" spans="1:17" x14ac:dyDescent="0.3">
      <c r="A126" s="13">
        <v>45131</v>
      </c>
      <c r="B126" s="13" t="str">
        <f t="shared" si="11"/>
        <v>July</v>
      </c>
      <c r="C126" s="13" t="str">
        <f t="shared" si="12"/>
        <v>2023-07</v>
      </c>
      <c r="D126" s="8">
        <v>180</v>
      </c>
      <c r="E126" s="8">
        <v>280</v>
      </c>
      <c r="F126" s="8">
        <v>146</v>
      </c>
      <c r="G126" s="8">
        <v>7220</v>
      </c>
      <c r="H126" s="8">
        <v>187</v>
      </c>
      <c r="I126" s="14">
        <f t="shared" si="13"/>
        <v>7500</v>
      </c>
      <c r="J126" s="14">
        <f t="shared" si="14"/>
        <v>-41</v>
      </c>
      <c r="K126" s="15">
        <f t="shared" si="15"/>
        <v>4.0533333333333331E-2</v>
      </c>
      <c r="L126" s="16" t="str">
        <f t="shared" si="16"/>
        <v>Valid</v>
      </c>
      <c r="M126" s="16" t="str">
        <f t="shared" si="17"/>
        <v>Valid</v>
      </c>
      <c r="N126" s="17" t="str">
        <f t="shared" si="18"/>
        <v>Stable/Reducing</v>
      </c>
      <c r="O126" s="16">
        <f t="shared" si="19"/>
        <v>1.2808219178082192</v>
      </c>
      <c r="P126" s="14">
        <f t="shared" si="21"/>
        <v>7951.8571428571431</v>
      </c>
      <c r="Q126" s="16">
        <f t="shared" si="20"/>
        <v>2918.4580782596145</v>
      </c>
    </row>
    <row r="127" spans="1:17" x14ac:dyDescent="0.3">
      <c r="A127" s="13">
        <v>45132</v>
      </c>
      <c r="B127" s="13" t="str">
        <f t="shared" si="11"/>
        <v>July</v>
      </c>
      <c r="C127" s="13" t="str">
        <f t="shared" si="12"/>
        <v>2023-07</v>
      </c>
      <c r="D127" s="8">
        <v>134</v>
      </c>
      <c r="E127" s="8">
        <v>294</v>
      </c>
      <c r="F127" s="8">
        <v>186</v>
      </c>
      <c r="G127" s="8">
        <v>7510</v>
      </c>
      <c r="H127" s="8">
        <v>136</v>
      </c>
      <c r="I127" s="14">
        <f t="shared" si="13"/>
        <v>7804</v>
      </c>
      <c r="J127" s="14">
        <f t="shared" si="14"/>
        <v>50</v>
      </c>
      <c r="K127" s="15">
        <f t="shared" si="15"/>
        <v>1.9989748846745259E-2</v>
      </c>
      <c r="L127" s="16" t="str">
        <f t="shared" si="16"/>
        <v>Valid</v>
      </c>
      <c r="M127" s="16" t="str">
        <f t="shared" si="17"/>
        <v>Valid</v>
      </c>
      <c r="N127" s="17" t="str">
        <f t="shared" si="18"/>
        <v>Increasing Pressure</v>
      </c>
      <c r="O127" s="16">
        <f t="shared" si="19"/>
        <v>0.73118279569892475</v>
      </c>
      <c r="P127" s="14">
        <f t="shared" si="21"/>
        <v>8085</v>
      </c>
      <c r="Q127" s="16">
        <f t="shared" si="20"/>
        <v>2918.4580782596145</v>
      </c>
    </row>
    <row r="128" spans="1:17" x14ac:dyDescent="0.3">
      <c r="A128" s="13">
        <v>45133</v>
      </c>
      <c r="B128" s="13" t="str">
        <f t="shared" si="11"/>
        <v>July</v>
      </c>
      <c r="C128" s="13" t="str">
        <f t="shared" si="12"/>
        <v>2023-07</v>
      </c>
      <c r="D128" s="8">
        <v>202</v>
      </c>
      <c r="E128" s="8">
        <v>313</v>
      </c>
      <c r="F128" s="8">
        <v>158</v>
      </c>
      <c r="G128" s="8">
        <v>7647</v>
      </c>
      <c r="H128" s="8">
        <v>215</v>
      </c>
      <c r="I128" s="14">
        <f t="shared" si="13"/>
        <v>7960</v>
      </c>
      <c r="J128" s="14">
        <f t="shared" si="14"/>
        <v>-57</v>
      </c>
      <c r="K128" s="15">
        <f t="shared" si="15"/>
        <v>8.2914572864321613E-3</v>
      </c>
      <c r="L128" s="16" t="str">
        <f t="shared" si="16"/>
        <v>Valid</v>
      </c>
      <c r="M128" s="16" t="str">
        <f t="shared" si="17"/>
        <v>Valid</v>
      </c>
      <c r="N128" s="17" t="str">
        <f t="shared" si="18"/>
        <v>Stable/Reducing</v>
      </c>
      <c r="O128" s="16">
        <f t="shared" si="19"/>
        <v>1.360759493670886</v>
      </c>
      <c r="P128" s="14">
        <f t="shared" si="21"/>
        <v>8184.8571428571431</v>
      </c>
      <c r="Q128" s="16">
        <f t="shared" si="20"/>
        <v>2918.4580782596145</v>
      </c>
    </row>
    <row r="129" spans="1:17" x14ac:dyDescent="0.3">
      <c r="A129" s="13">
        <v>45134</v>
      </c>
      <c r="B129" s="13" t="str">
        <f t="shared" si="11"/>
        <v>July</v>
      </c>
      <c r="C129" s="13" t="str">
        <f t="shared" si="12"/>
        <v>2023-07</v>
      </c>
      <c r="D129" s="8">
        <v>110</v>
      </c>
      <c r="E129" s="8">
        <v>272</v>
      </c>
      <c r="F129" s="8">
        <v>193</v>
      </c>
      <c r="G129" s="8">
        <v>7754</v>
      </c>
      <c r="H129" s="8">
        <v>259</v>
      </c>
      <c r="I129" s="14">
        <f t="shared" si="13"/>
        <v>8026</v>
      </c>
      <c r="J129" s="14">
        <f t="shared" si="14"/>
        <v>-66</v>
      </c>
      <c r="K129" s="15">
        <f t="shared" si="15"/>
        <v>-9.7184151507600305E-3</v>
      </c>
      <c r="L129" s="16" t="str">
        <f t="shared" si="16"/>
        <v>Valid</v>
      </c>
      <c r="M129" s="16" t="str">
        <f t="shared" si="17"/>
        <v>Valid</v>
      </c>
      <c r="N129" s="17" t="str">
        <f t="shared" si="18"/>
        <v>Stable/Reducing</v>
      </c>
      <c r="O129" s="16">
        <f t="shared" si="19"/>
        <v>1.3419689119170986</v>
      </c>
      <c r="P129" s="14">
        <f t="shared" si="21"/>
        <v>8268.1428571428569</v>
      </c>
      <c r="Q129" s="16">
        <f t="shared" si="20"/>
        <v>2918.4580782596145</v>
      </c>
    </row>
    <row r="130" spans="1:17" x14ac:dyDescent="0.3">
      <c r="A130" s="13">
        <v>45137</v>
      </c>
      <c r="B130" s="13" t="str">
        <f t="shared" ref="B130:B193" si="22">TEXT(A130, "mmmm")</f>
        <v>July</v>
      </c>
      <c r="C130" s="13" t="str">
        <f t="shared" ref="C130:C193" si="23">TEXT(A130, "yyyy-mm")</f>
        <v>2023-07</v>
      </c>
      <c r="D130" s="8">
        <v>166</v>
      </c>
      <c r="E130" s="8">
        <v>277</v>
      </c>
      <c r="F130" s="8">
        <v>229</v>
      </c>
      <c r="G130" s="8">
        <v>7671</v>
      </c>
      <c r="H130" s="8">
        <v>305</v>
      </c>
      <c r="I130" s="14">
        <f t="shared" ref="I130:I193" si="24">SUM(G130+E130)</f>
        <v>7948</v>
      </c>
      <c r="J130" s="14">
        <f t="shared" ref="J130:J193" si="25">F130-H130</f>
        <v>-76</v>
      </c>
      <c r="K130" s="15">
        <f t="shared" ref="K130:K193" si="26">(I131-I130)/I130</f>
        <v>1.6104680422747861E-2</v>
      </c>
      <c r="L130" s="16" t="str">
        <f t="shared" ref="L130:L193" si="27">IF(F130&lt;=E130, "Valid", "Invalid")</f>
        <v>Valid</v>
      </c>
      <c r="M130" s="16" t="str">
        <f t="shared" ref="M130:M193" si="28">IF(H130&lt;=G130, "Valid", "Invalid")</f>
        <v>Valid</v>
      </c>
      <c r="N130" s="17" t="str">
        <f t="shared" ref="N130:N193" si="29">IF(J130&gt;0, "Increasing Pressure", "Stable/Reducing")</f>
        <v>Stable/Reducing</v>
      </c>
      <c r="O130" s="16">
        <f t="shared" ref="O130:O193" si="30">IFERROR(H130/F130, 0)</f>
        <v>1.331877729257642</v>
      </c>
      <c r="P130" s="14">
        <f t="shared" si="21"/>
        <v>8371.4285714285706</v>
      </c>
      <c r="Q130" s="16">
        <f t="shared" ref="Q130:Q193" si="31">_xlfn.STDEV.S(I:I)</f>
        <v>2918.4580782596145</v>
      </c>
    </row>
    <row r="131" spans="1:17" x14ac:dyDescent="0.3">
      <c r="A131" s="13">
        <v>45138</v>
      </c>
      <c r="B131" s="13" t="str">
        <f t="shared" si="22"/>
        <v>July</v>
      </c>
      <c r="C131" s="13" t="str">
        <f t="shared" si="23"/>
        <v>2023-07</v>
      </c>
      <c r="D131" s="8">
        <v>136</v>
      </c>
      <c r="E131" s="8">
        <v>276</v>
      </c>
      <c r="F131" s="8">
        <v>178</v>
      </c>
      <c r="G131" s="8">
        <v>7800</v>
      </c>
      <c r="H131" s="8">
        <v>220</v>
      </c>
      <c r="I131" s="14">
        <f t="shared" si="24"/>
        <v>8076</v>
      </c>
      <c r="J131" s="14">
        <f t="shared" si="25"/>
        <v>-42</v>
      </c>
      <c r="K131" s="15">
        <f t="shared" si="26"/>
        <v>3.3803863298662702E-2</v>
      </c>
      <c r="L131" s="16" t="str">
        <f t="shared" si="27"/>
        <v>Valid</v>
      </c>
      <c r="M131" s="16" t="str">
        <f t="shared" si="28"/>
        <v>Valid</v>
      </c>
      <c r="N131" s="17" t="str">
        <f t="shared" si="29"/>
        <v>Stable/Reducing</v>
      </c>
      <c r="O131" s="16">
        <f t="shared" si="30"/>
        <v>1.2359550561797752</v>
      </c>
      <c r="P131" s="14">
        <f t="shared" ref="P131:P194" si="32">AVERAGE(I131:I137)</f>
        <v>8515.5714285714294</v>
      </c>
      <c r="Q131" s="16">
        <f t="shared" si="31"/>
        <v>2918.4580782596145</v>
      </c>
    </row>
    <row r="132" spans="1:17" x14ac:dyDescent="0.3">
      <c r="A132" s="13">
        <v>45139</v>
      </c>
      <c r="B132" s="13" t="str">
        <f t="shared" si="22"/>
        <v>August</v>
      </c>
      <c r="C132" s="13" t="str">
        <f t="shared" si="23"/>
        <v>2023-08</v>
      </c>
      <c r="D132" s="8">
        <v>87</v>
      </c>
      <c r="E132" s="8">
        <v>246</v>
      </c>
      <c r="F132" s="8">
        <v>173</v>
      </c>
      <c r="G132" s="8">
        <v>8103</v>
      </c>
      <c r="H132" s="8">
        <v>168</v>
      </c>
      <c r="I132" s="14">
        <f t="shared" si="24"/>
        <v>8349</v>
      </c>
      <c r="J132" s="14">
        <f t="shared" si="25"/>
        <v>5</v>
      </c>
      <c r="K132" s="15">
        <f t="shared" si="26"/>
        <v>9.9413103365672533E-3</v>
      </c>
      <c r="L132" s="16" t="str">
        <f t="shared" si="27"/>
        <v>Valid</v>
      </c>
      <c r="M132" s="16" t="str">
        <f t="shared" si="28"/>
        <v>Valid</v>
      </c>
      <c r="N132" s="17" t="str">
        <f t="shared" si="29"/>
        <v>Increasing Pressure</v>
      </c>
      <c r="O132" s="16">
        <f t="shared" si="30"/>
        <v>0.97109826589595372</v>
      </c>
      <c r="P132" s="14">
        <f t="shared" si="32"/>
        <v>8651.4285714285706</v>
      </c>
      <c r="Q132" s="16">
        <f t="shared" si="31"/>
        <v>2918.4580782596145</v>
      </c>
    </row>
    <row r="133" spans="1:17" x14ac:dyDescent="0.3">
      <c r="A133" s="13">
        <v>45140</v>
      </c>
      <c r="B133" s="13" t="str">
        <f t="shared" si="22"/>
        <v>August</v>
      </c>
      <c r="C133" s="13" t="str">
        <f t="shared" si="23"/>
        <v>2023-08</v>
      </c>
      <c r="D133" s="8">
        <v>84</v>
      </c>
      <c r="E133" s="8">
        <v>171</v>
      </c>
      <c r="F133" s="8">
        <v>157</v>
      </c>
      <c r="G133" s="8">
        <v>8261</v>
      </c>
      <c r="H133" s="8">
        <v>271</v>
      </c>
      <c r="I133" s="14">
        <f t="shared" si="24"/>
        <v>8432</v>
      </c>
      <c r="J133" s="14">
        <f t="shared" si="25"/>
        <v>-114</v>
      </c>
      <c r="K133" s="15">
        <f t="shared" si="26"/>
        <v>8.4203036053130936E-3</v>
      </c>
      <c r="L133" s="16" t="str">
        <f t="shared" si="27"/>
        <v>Valid</v>
      </c>
      <c r="M133" s="16" t="str">
        <f t="shared" si="28"/>
        <v>Valid</v>
      </c>
      <c r="N133" s="17" t="str">
        <f t="shared" si="29"/>
        <v>Stable/Reducing</v>
      </c>
      <c r="O133" s="16">
        <f t="shared" si="30"/>
        <v>1.7261146496815287</v>
      </c>
      <c r="P133" s="14">
        <f t="shared" si="32"/>
        <v>8765.7142857142862</v>
      </c>
      <c r="Q133" s="16">
        <f t="shared" si="31"/>
        <v>2918.4580782596145</v>
      </c>
    </row>
    <row r="134" spans="1:17" x14ac:dyDescent="0.3">
      <c r="A134" s="13">
        <v>45141</v>
      </c>
      <c r="B134" s="13" t="str">
        <f t="shared" si="22"/>
        <v>August</v>
      </c>
      <c r="C134" s="13" t="str">
        <f t="shared" si="23"/>
        <v>2023-08</v>
      </c>
      <c r="D134" s="8">
        <v>167</v>
      </c>
      <c r="E134" s="8">
        <v>209</v>
      </c>
      <c r="F134" s="8">
        <v>157</v>
      </c>
      <c r="G134" s="8">
        <v>8294</v>
      </c>
      <c r="H134" s="8">
        <v>339</v>
      </c>
      <c r="I134" s="14">
        <f t="shared" si="24"/>
        <v>8503</v>
      </c>
      <c r="J134" s="14">
        <f t="shared" si="25"/>
        <v>-182</v>
      </c>
      <c r="K134" s="15">
        <f t="shared" si="26"/>
        <v>4.7042220392802536E-3</v>
      </c>
      <c r="L134" s="16" t="str">
        <f t="shared" si="27"/>
        <v>Valid</v>
      </c>
      <c r="M134" s="16" t="str">
        <f t="shared" si="28"/>
        <v>Valid</v>
      </c>
      <c r="N134" s="17" t="str">
        <f t="shared" si="29"/>
        <v>Stable/Reducing</v>
      </c>
      <c r="O134" s="16">
        <f t="shared" si="30"/>
        <v>2.1592356687898091</v>
      </c>
      <c r="P134" s="14">
        <f t="shared" si="32"/>
        <v>8972.4285714285706</v>
      </c>
      <c r="Q134" s="16">
        <f t="shared" si="31"/>
        <v>2918.4580782596145</v>
      </c>
    </row>
    <row r="135" spans="1:17" x14ac:dyDescent="0.3">
      <c r="A135" s="13">
        <v>45144</v>
      </c>
      <c r="B135" s="13" t="str">
        <f t="shared" si="22"/>
        <v>August</v>
      </c>
      <c r="C135" s="13" t="str">
        <f t="shared" si="23"/>
        <v>2023-08</v>
      </c>
      <c r="D135" s="8">
        <v>109</v>
      </c>
      <c r="E135" s="8">
        <v>245</v>
      </c>
      <c r="F135" s="8">
        <v>159</v>
      </c>
      <c r="G135" s="8">
        <v>8298</v>
      </c>
      <c r="H135" s="8">
        <v>322</v>
      </c>
      <c r="I135" s="14">
        <f t="shared" si="24"/>
        <v>8543</v>
      </c>
      <c r="J135" s="14">
        <f t="shared" si="25"/>
        <v>-163</v>
      </c>
      <c r="K135" s="15">
        <f t="shared" si="26"/>
        <v>2.4113309141987591E-2</v>
      </c>
      <c r="L135" s="16" t="str">
        <f t="shared" si="27"/>
        <v>Valid</v>
      </c>
      <c r="M135" s="16" t="str">
        <f t="shared" si="28"/>
        <v>Valid</v>
      </c>
      <c r="N135" s="17" t="str">
        <f t="shared" si="29"/>
        <v>Stable/Reducing</v>
      </c>
      <c r="O135" s="16">
        <f t="shared" si="30"/>
        <v>2.0251572327044025</v>
      </c>
      <c r="P135" s="14">
        <f t="shared" si="32"/>
        <v>9173.8571428571431</v>
      </c>
      <c r="Q135" s="16">
        <f t="shared" si="31"/>
        <v>2918.4580782596145</v>
      </c>
    </row>
    <row r="136" spans="1:17" x14ac:dyDescent="0.3">
      <c r="A136" s="13">
        <v>45145</v>
      </c>
      <c r="B136" s="13" t="str">
        <f t="shared" si="22"/>
        <v>August</v>
      </c>
      <c r="C136" s="13" t="str">
        <f t="shared" si="23"/>
        <v>2023-08</v>
      </c>
      <c r="D136" s="8">
        <v>156</v>
      </c>
      <c r="E136" s="8">
        <v>256</v>
      </c>
      <c r="F136" s="8">
        <v>176</v>
      </c>
      <c r="G136" s="8">
        <v>8493</v>
      </c>
      <c r="H136" s="8">
        <v>202</v>
      </c>
      <c r="I136" s="14">
        <f t="shared" si="24"/>
        <v>8749</v>
      </c>
      <c r="J136" s="14">
        <f t="shared" si="25"/>
        <v>-26</v>
      </c>
      <c r="K136" s="15">
        <f t="shared" si="26"/>
        <v>2.3774145616641901E-2</v>
      </c>
      <c r="L136" s="16" t="str">
        <f t="shared" si="27"/>
        <v>Valid</v>
      </c>
      <c r="M136" s="16" t="str">
        <f t="shared" si="28"/>
        <v>Valid</v>
      </c>
      <c r="N136" s="17" t="str">
        <f t="shared" si="29"/>
        <v>Stable/Reducing</v>
      </c>
      <c r="O136" s="16">
        <f t="shared" si="30"/>
        <v>1.1477272727272727</v>
      </c>
      <c r="P136" s="14">
        <f t="shared" si="32"/>
        <v>9338.1428571428569</v>
      </c>
      <c r="Q136" s="16">
        <f t="shared" si="31"/>
        <v>2918.4580782596145</v>
      </c>
    </row>
    <row r="137" spans="1:17" x14ac:dyDescent="0.3">
      <c r="A137" s="13">
        <v>45146</v>
      </c>
      <c r="B137" s="13" t="str">
        <f t="shared" si="22"/>
        <v>August</v>
      </c>
      <c r="C137" s="13" t="str">
        <f t="shared" si="23"/>
        <v>2023-08</v>
      </c>
      <c r="D137" s="8">
        <v>125</v>
      </c>
      <c r="E137" s="8">
        <v>232</v>
      </c>
      <c r="F137" s="8">
        <v>192</v>
      </c>
      <c r="G137" s="8">
        <v>8725</v>
      </c>
      <c r="H137" s="8">
        <v>207</v>
      </c>
      <c r="I137" s="14">
        <f t="shared" si="24"/>
        <v>8957</v>
      </c>
      <c r="J137" s="14">
        <f t="shared" si="25"/>
        <v>-15</v>
      </c>
      <c r="K137" s="15">
        <f t="shared" si="26"/>
        <v>7.8151166685274092E-3</v>
      </c>
      <c r="L137" s="16" t="str">
        <f t="shared" si="27"/>
        <v>Valid</v>
      </c>
      <c r="M137" s="16" t="str">
        <f t="shared" si="28"/>
        <v>Valid</v>
      </c>
      <c r="N137" s="17" t="str">
        <f t="shared" si="29"/>
        <v>Stable/Reducing</v>
      </c>
      <c r="O137" s="16">
        <f t="shared" si="30"/>
        <v>1.078125</v>
      </c>
      <c r="P137" s="14">
        <f t="shared" si="32"/>
        <v>9498.4285714285706</v>
      </c>
      <c r="Q137" s="16">
        <f t="shared" si="31"/>
        <v>2918.4580782596145</v>
      </c>
    </row>
    <row r="138" spans="1:17" x14ac:dyDescent="0.3">
      <c r="A138" s="13">
        <v>45147</v>
      </c>
      <c r="B138" s="13" t="str">
        <f t="shared" si="22"/>
        <v>August</v>
      </c>
      <c r="C138" s="13" t="str">
        <f t="shared" si="23"/>
        <v>2023-08</v>
      </c>
      <c r="D138" s="8">
        <v>118</v>
      </c>
      <c r="E138" s="8">
        <v>139</v>
      </c>
      <c r="F138" s="8">
        <v>168</v>
      </c>
      <c r="G138" s="8">
        <v>8888</v>
      </c>
      <c r="H138" s="8">
        <v>251</v>
      </c>
      <c r="I138" s="14">
        <f t="shared" si="24"/>
        <v>9027</v>
      </c>
      <c r="J138" s="14">
        <f t="shared" si="25"/>
        <v>-83</v>
      </c>
      <c r="K138" s="15">
        <f t="shared" si="26"/>
        <v>1.3515010523983604E-2</v>
      </c>
      <c r="L138" s="16" t="str">
        <f t="shared" si="27"/>
        <v>Invalid</v>
      </c>
      <c r="M138" s="16" t="str">
        <f t="shared" si="28"/>
        <v>Valid</v>
      </c>
      <c r="N138" s="17" t="str">
        <f t="shared" si="29"/>
        <v>Stable/Reducing</v>
      </c>
      <c r="O138" s="16">
        <f t="shared" si="30"/>
        <v>1.4940476190476191</v>
      </c>
      <c r="P138" s="14">
        <f t="shared" si="32"/>
        <v>9666</v>
      </c>
      <c r="Q138" s="16">
        <f t="shared" si="31"/>
        <v>2918.4580782596145</v>
      </c>
    </row>
    <row r="139" spans="1:17" x14ac:dyDescent="0.3">
      <c r="A139" s="13">
        <v>45148</v>
      </c>
      <c r="B139" s="13" t="str">
        <f t="shared" si="22"/>
        <v>August</v>
      </c>
      <c r="C139" s="13" t="str">
        <f t="shared" si="23"/>
        <v>2023-08</v>
      </c>
      <c r="D139" s="8">
        <v>142</v>
      </c>
      <c r="E139" s="8">
        <v>235</v>
      </c>
      <c r="F139" s="8">
        <v>139</v>
      </c>
      <c r="G139" s="8">
        <v>8914</v>
      </c>
      <c r="H139" s="8">
        <v>353</v>
      </c>
      <c r="I139" s="14">
        <f t="shared" si="24"/>
        <v>9149</v>
      </c>
      <c r="J139" s="14">
        <f t="shared" si="25"/>
        <v>-214</v>
      </c>
      <c r="K139" s="15">
        <f t="shared" si="26"/>
        <v>7.9790140999016282E-2</v>
      </c>
      <c r="L139" s="16" t="str">
        <f t="shared" si="27"/>
        <v>Valid</v>
      </c>
      <c r="M139" s="16" t="str">
        <f t="shared" si="28"/>
        <v>Valid</v>
      </c>
      <c r="N139" s="17" t="str">
        <f t="shared" si="29"/>
        <v>Stable/Reducing</v>
      </c>
      <c r="O139" s="16">
        <f t="shared" si="30"/>
        <v>2.5395683453237412</v>
      </c>
      <c r="P139" s="14">
        <f t="shared" si="32"/>
        <v>9845.4285714285706</v>
      </c>
      <c r="Q139" s="16">
        <f t="shared" si="31"/>
        <v>2918.4580782596145</v>
      </c>
    </row>
    <row r="140" spans="1:17" x14ac:dyDescent="0.3">
      <c r="A140" s="13">
        <v>45154</v>
      </c>
      <c r="B140" s="13" t="str">
        <f t="shared" si="22"/>
        <v>August</v>
      </c>
      <c r="C140" s="13" t="str">
        <f t="shared" si="23"/>
        <v>2023-08</v>
      </c>
      <c r="D140" s="8">
        <v>148</v>
      </c>
      <c r="E140" s="8">
        <v>245</v>
      </c>
      <c r="F140" s="8">
        <v>175</v>
      </c>
      <c r="G140" s="8">
        <v>9634</v>
      </c>
      <c r="H140" s="8">
        <v>288</v>
      </c>
      <c r="I140" s="14">
        <f t="shared" si="24"/>
        <v>9879</v>
      </c>
      <c r="J140" s="14">
        <f t="shared" si="25"/>
        <v>-113</v>
      </c>
      <c r="K140" s="15">
        <f t="shared" si="26"/>
        <v>3.4416438910820934E-3</v>
      </c>
      <c r="L140" s="16" t="str">
        <f t="shared" si="27"/>
        <v>Valid</v>
      </c>
      <c r="M140" s="16" t="str">
        <f t="shared" si="28"/>
        <v>Valid</v>
      </c>
      <c r="N140" s="17" t="str">
        <f t="shared" si="29"/>
        <v>Stable/Reducing</v>
      </c>
      <c r="O140" s="16">
        <f t="shared" si="30"/>
        <v>1.6457142857142857</v>
      </c>
      <c r="P140" s="14">
        <f t="shared" si="32"/>
        <v>10001.285714285714</v>
      </c>
      <c r="Q140" s="16">
        <f t="shared" si="31"/>
        <v>2918.4580782596145</v>
      </c>
    </row>
    <row r="141" spans="1:17" x14ac:dyDescent="0.3">
      <c r="A141" s="13">
        <v>45155</v>
      </c>
      <c r="B141" s="13" t="str">
        <f t="shared" si="22"/>
        <v>August</v>
      </c>
      <c r="C141" s="13" t="str">
        <f t="shared" si="23"/>
        <v>2023-08</v>
      </c>
      <c r="D141" s="8">
        <v>119</v>
      </c>
      <c r="E141" s="8">
        <v>219</v>
      </c>
      <c r="F141" s="8">
        <v>210</v>
      </c>
      <c r="G141" s="8">
        <v>9694</v>
      </c>
      <c r="H141" s="8">
        <v>407</v>
      </c>
      <c r="I141" s="14">
        <f t="shared" si="24"/>
        <v>9913</v>
      </c>
      <c r="J141" s="14">
        <f t="shared" si="25"/>
        <v>-197</v>
      </c>
      <c r="K141" s="15">
        <f t="shared" si="26"/>
        <v>-2.2193079794209623E-2</v>
      </c>
      <c r="L141" s="16" t="str">
        <f t="shared" si="27"/>
        <v>Valid</v>
      </c>
      <c r="M141" s="16" t="str">
        <f t="shared" si="28"/>
        <v>Valid</v>
      </c>
      <c r="N141" s="17" t="str">
        <f t="shared" si="29"/>
        <v>Stable/Reducing</v>
      </c>
      <c r="O141" s="16">
        <f t="shared" si="30"/>
        <v>1.9380952380952381</v>
      </c>
      <c r="P141" s="14">
        <f t="shared" si="32"/>
        <v>10040.857142857143</v>
      </c>
      <c r="Q141" s="16">
        <f t="shared" si="31"/>
        <v>2918.4580782596145</v>
      </c>
    </row>
    <row r="142" spans="1:17" x14ac:dyDescent="0.3">
      <c r="A142" s="13">
        <v>45158</v>
      </c>
      <c r="B142" s="13" t="str">
        <f t="shared" si="22"/>
        <v>August</v>
      </c>
      <c r="C142" s="13" t="str">
        <f t="shared" si="23"/>
        <v>2023-08</v>
      </c>
      <c r="D142" s="8">
        <v>105</v>
      </c>
      <c r="E142" s="8">
        <v>210</v>
      </c>
      <c r="F142" s="8">
        <v>149</v>
      </c>
      <c r="G142" s="8">
        <v>9483</v>
      </c>
      <c r="H142" s="8">
        <v>390</v>
      </c>
      <c r="I142" s="14">
        <f t="shared" si="24"/>
        <v>9693</v>
      </c>
      <c r="J142" s="14">
        <f t="shared" si="25"/>
        <v>-241</v>
      </c>
      <c r="K142" s="15">
        <f t="shared" si="26"/>
        <v>1.8363767667388838E-2</v>
      </c>
      <c r="L142" s="16" t="str">
        <f t="shared" si="27"/>
        <v>Valid</v>
      </c>
      <c r="M142" s="16" t="str">
        <f t="shared" si="28"/>
        <v>Valid</v>
      </c>
      <c r="N142" s="17" t="str">
        <f t="shared" si="29"/>
        <v>Stable/Reducing</v>
      </c>
      <c r="O142" s="16">
        <f t="shared" si="30"/>
        <v>2.6174496644295302</v>
      </c>
      <c r="P142" s="14">
        <f t="shared" si="32"/>
        <v>10097.428571428571</v>
      </c>
      <c r="Q142" s="16">
        <f t="shared" si="31"/>
        <v>2918.4580782596145</v>
      </c>
    </row>
    <row r="143" spans="1:17" x14ac:dyDescent="0.3">
      <c r="A143" s="13">
        <v>45159</v>
      </c>
      <c r="B143" s="13" t="str">
        <f t="shared" si="22"/>
        <v>August</v>
      </c>
      <c r="C143" s="13" t="str">
        <f t="shared" si="23"/>
        <v>2023-08</v>
      </c>
      <c r="D143" s="8">
        <v>143</v>
      </c>
      <c r="E143" s="8">
        <v>203</v>
      </c>
      <c r="F143" s="8">
        <v>163</v>
      </c>
      <c r="G143" s="8">
        <v>9668</v>
      </c>
      <c r="H143" s="8">
        <v>281</v>
      </c>
      <c r="I143" s="14">
        <f t="shared" si="24"/>
        <v>9871</v>
      </c>
      <c r="J143" s="14">
        <f t="shared" si="25"/>
        <v>-118</v>
      </c>
      <c r="K143" s="15">
        <f t="shared" si="26"/>
        <v>2.6238476344848546E-2</v>
      </c>
      <c r="L143" s="16" t="str">
        <f t="shared" si="27"/>
        <v>Valid</v>
      </c>
      <c r="M143" s="16" t="str">
        <f t="shared" si="28"/>
        <v>Valid</v>
      </c>
      <c r="N143" s="17" t="str">
        <f t="shared" si="29"/>
        <v>Stable/Reducing</v>
      </c>
      <c r="O143" s="16">
        <f t="shared" si="30"/>
        <v>1.7239263803680982</v>
      </c>
      <c r="P143" s="14">
        <f t="shared" si="32"/>
        <v>10205.857142857143</v>
      </c>
      <c r="Q143" s="16">
        <f t="shared" si="31"/>
        <v>2918.4580782596145</v>
      </c>
    </row>
    <row r="144" spans="1:17" x14ac:dyDescent="0.3">
      <c r="A144" s="13">
        <v>45160</v>
      </c>
      <c r="B144" s="13" t="str">
        <f t="shared" si="22"/>
        <v>August</v>
      </c>
      <c r="C144" s="13" t="str">
        <f t="shared" si="23"/>
        <v>2023-08</v>
      </c>
      <c r="D144" s="8">
        <v>119</v>
      </c>
      <c r="E144" s="8">
        <v>209</v>
      </c>
      <c r="F144" s="8">
        <v>152</v>
      </c>
      <c r="G144" s="8">
        <v>9921</v>
      </c>
      <c r="H144" s="8">
        <v>230</v>
      </c>
      <c r="I144" s="14">
        <f t="shared" si="24"/>
        <v>10130</v>
      </c>
      <c r="J144" s="14">
        <f t="shared" si="25"/>
        <v>-78</v>
      </c>
      <c r="K144" s="15">
        <f t="shared" si="26"/>
        <v>1.5103652517275419E-2</v>
      </c>
      <c r="L144" s="16" t="str">
        <f t="shared" si="27"/>
        <v>Valid</v>
      </c>
      <c r="M144" s="16" t="str">
        <f t="shared" si="28"/>
        <v>Valid</v>
      </c>
      <c r="N144" s="17" t="str">
        <f t="shared" si="29"/>
        <v>Stable/Reducing</v>
      </c>
      <c r="O144" s="16">
        <f t="shared" si="30"/>
        <v>1.513157894736842</v>
      </c>
      <c r="P144" s="14">
        <f t="shared" si="32"/>
        <v>10316.714285714286</v>
      </c>
      <c r="Q144" s="16">
        <f t="shared" si="31"/>
        <v>2918.4580782596145</v>
      </c>
    </row>
    <row r="145" spans="1:17" x14ac:dyDescent="0.3">
      <c r="A145" s="13">
        <v>45161</v>
      </c>
      <c r="B145" s="13" t="str">
        <f t="shared" si="22"/>
        <v>August</v>
      </c>
      <c r="C145" s="13" t="str">
        <f t="shared" si="23"/>
        <v>2023-08</v>
      </c>
      <c r="D145" s="8">
        <v>155</v>
      </c>
      <c r="E145" s="8">
        <v>212</v>
      </c>
      <c r="F145" s="8">
        <v>181</v>
      </c>
      <c r="G145" s="8">
        <v>10071</v>
      </c>
      <c r="H145" s="8">
        <v>285</v>
      </c>
      <c r="I145" s="14">
        <f t="shared" si="24"/>
        <v>10283</v>
      </c>
      <c r="J145" s="14">
        <f t="shared" si="25"/>
        <v>-104</v>
      </c>
      <c r="K145" s="15">
        <f t="shared" si="26"/>
        <v>-4.1816590489156865E-3</v>
      </c>
      <c r="L145" s="16" t="str">
        <f t="shared" si="27"/>
        <v>Valid</v>
      </c>
      <c r="M145" s="16" t="str">
        <f t="shared" si="28"/>
        <v>Valid</v>
      </c>
      <c r="N145" s="17" t="str">
        <f t="shared" si="29"/>
        <v>Stable/Reducing</v>
      </c>
      <c r="O145" s="16">
        <f t="shared" si="30"/>
        <v>1.5745856353591161</v>
      </c>
      <c r="P145" s="14">
        <f t="shared" si="32"/>
        <v>10358.142857142857</v>
      </c>
      <c r="Q145" s="16">
        <f t="shared" si="31"/>
        <v>2918.4580782596145</v>
      </c>
    </row>
    <row r="146" spans="1:17" x14ac:dyDescent="0.3">
      <c r="A146" s="13">
        <v>45162</v>
      </c>
      <c r="B146" s="13" t="str">
        <f t="shared" si="22"/>
        <v>August</v>
      </c>
      <c r="C146" s="13" t="str">
        <f t="shared" si="23"/>
        <v>2023-08</v>
      </c>
      <c r="D146" s="8">
        <v>109</v>
      </c>
      <c r="E146" s="8">
        <v>214</v>
      </c>
      <c r="F146" s="8">
        <v>173</v>
      </c>
      <c r="G146" s="8">
        <v>10026</v>
      </c>
      <c r="H146" s="8">
        <v>443</v>
      </c>
      <c r="I146" s="14">
        <f t="shared" si="24"/>
        <v>10240</v>
      </c>
      <c r="J146" s="14">
        <f t="shared" si="25"/>
        <v>-270</v>
      </c>
      <c r="K146" s="15">
        <f t="shared" si="26"/>
        <v>-8.2031250000000003E-3</v>
      </c>
      <c r="L146" s="16" t="str">
        <f t="shared" si="27"/>
        <v>Valid</v>
      </c>
      <c r="M146" s="16" t="str">
        <f t="shared" si="28"/>
        <v>Valid</v>
      </c>
      <c r="N146" s="17" t="str">
        <f t="shared" si="29"/>
        <v>Stable/Reducing</v>
      </c>
      <c r="O146" s="16">
        <f t="shared" si="30"/>
        <v>2.5606936416184971</v>
      </c>
      <c r="P146" s="14">
        <f t="shared" si="32"/>
        <v>10359.714285714286</v>
      </c>
      <c r="Q146" s="16">
        <f t="shared" si="31"/>
        <v>2918.4580782596145</v>
      </c>
    </row>
    <row r="147" spans="1:17" x14ac:dyDescent="0.3">
      <c r="A147" s="13">
        <v>45165</v>
      </c>
      <c r="B147" s="13" t="str">
        <f t="shared" si="22"/>
        <v>August</v>
      </c>
      <c r="C147" s="13" t="str">
        <f t="shared" si="23"/>
        <v>2023-08</v>
      </c>
      <c r="D147" s="8">
        <v>191</v>
      </c>
      <c r="E147" s="8">
        <v>283</v>
      </c>
      <c r="F147" s="8">
        <v>192</v>
      </c>
      <c r="G147" s="8">
        <v>9873</v>
      </c>
      <c r="H147" s="8">
        <v>488</v>
      </c>
      <c r="I147" s="14">
        <f t="shared" si="24"/>
        <v>10156</v>
      </c>
      <c r="J147" s="14">
        <f t="shared" si="25"/>
        <v>-296</v>
      </c>
      <c r="K147" s="15">
        <f t="shared" si="26"/>
        <v>1.5064986215045293E-2</v>
      </c>
      <c r="L147" s="16" t="str">
        <f t="shared" si="27"/>
        <v>Valid</v>
      </c>
      <c r="M147" s="16" t="str">
        <f t="shared" si="28"/>
        <v>Valid</v>
      </c>
      <c r="N147" s="17" t="str">
        <f t="shared" si="29"/>
        <v>Stable/Reducing</v>
      </c>
      <c r="O147" s="16">
        <f t="shared" si="30"/>
        <v>2.5416666666666665</v>
      </c>
      <c r="P147" s="14">
        <f t="shared" si="32"/>
        <v>10392.857142857143</v>
      </c>
      <c r="Q147" s="16">
        <f t="shared" si="31"/>
        <v>2918.4580782596145</v>
      </c>
    </row>
    <row r="148" spans="1:17" x14ac:dyDescent="0.3">
      <c r="A148" s="13">
        <v>45166</v>
      </c>
      <c r="B148" s="13" t="str">
        <f t="shared" si="22"/>
        <v>August</v>
      </c>
      <c r="C148" s="13" t="str">
        <f t="shared" si="23"/>
        <v>2023-08</v>
      </c>
      <c r="D148" s="8">
        <v>170</v>
      </c>
      <c r="E148" s="8">
        <v>297</v>
      </c>
      <c r="F148" s="8">
        <v>196</v>
      </c>
      <c r="G148" s="8">
        <v>10012</v>
      </c>
      <c r="H148" s="8">
        <v>388</v>
      </c>
      <c r="I148" s="14">
        <f t="shared" si="24"/>
        <v>10309</v>
      </c>
      <c r="J148" s="14">
        <f t="shared" si="25"/>
        <v>-192</v>
      </c>
      <c r="K148" s="15">
        <f t="shared" si="26"/>
        <v>1.3871374527112233E-2</v>
      </c>
      <c r="L148" s="16" t="str">
        <f t="shared" si="27"/>
        <v>Valid</v>
      </c>
      <c r="M148" s="16" t="str">
        <f t="shared" si="28"/>
        <v>Valid</v>
      </c>
      <c r="N148" s="17" t="str">
        <f t="shared" si="29"/>
        <v>Stable/Reducing</v>
      </c>
      <c r="O148" s="16">
        <f t="shared" si="30"/>
        <v>1.9795918367346939</v>
      </c>
      <c r="P148" s="14">
        <f t="shared" si="32"/>
        <v>10454.285714285714</v>
      </c>
      <c r="Q148" s="16">
        <f t="shared" si="31"/>
        <v>2918.4580782596145</v>
      </c>
    </row>
    <row r="149" spans="1:17" x14ac:dyDescent="0.3">
      <c r="A149" s="13">
        <v>45167</v>
      </c>
      <c r="B149" s="13" t="str">
        <f t="shared" si="22"/>
        <v>August</v>
      </c>
      <c r="C149" s="13" t="str">
        <f t="shared" si="23"/>
        <v>2023-08</v>
      </c>
      <c r="D149" s="8">
        <v>152</v>
      </c>
      <c r="E149" s="8">
        <v>272</v>
      </c>
      <c r="F149" s="8">
        <v>214</v>
      </c>
      <c r="G149" s="8">
        <v>10180</v>
      </c>
      <c r="H149" s="8">
        <v>286</v>
      </c>
      <c r="I149" s="14">
        <f t="shared" si="24"/>
        <v>10452</v>
      </c>
      <c r="J149" s="14">
        <f t="shared" si="25"/>
        <v>-72</v>
      </c>
      <c r="K149" s="15">
        <f t="shared" si="26"/>
        <v>1.8656716417910446E-2</v>
      </c>
      <c r="L149" s="16" t="str">
        <f t="shared" si="27"/>
        <v>Valid</v>
      </c>
      <c r="M149" s="16" t="str">
        <f t="shared" si="28"/>
        <v>Valid</v>
      </c>
      <c r="N149" s="17" t="str">
        <f t="shared" si="29"/>
        <v>Stable/Reducing</v>
      </c>
      <c r="O149" s="16">
        <f t="shared" si="30"/>
        <v>1.3364485981308412</v>
      </c>
      <c r="P149" s="14">
        <f t="shared" si="32"/>
        <v>10505</v>
      </c>
      <c r="Q149" s="16">
        <f t="shared" si="31"/>
        <v>2918.4580782596145</v>
      </c>
    </row>
    <row r="150" spans="1:17" x14ac:dyDescent="0.3">
      <c r="A150" s="13">
        <v>45168</v>
      </c>
      <c r="B150" s="13" t="str">
        <f t="shared" si="22"/>
        <v>August</v>
      </c>
      <c r="C150" s="13" t="str">
        <f t="shared" si="23"/>
        <v>2023-08</v>
      </c>
      <c r="D150" s="8">
        <v>239</v>
      </c>
      <c r="E150" s="8">
        <v>367</v>
      </c>
      <c r="F150" s="8">
        <v>224</v>
      </c>
      <c r="G150" s="8">
        <v>10280</v>
      </c>
      <c r="H150" s="8">
        <v>366</v>
      </c>
      <c r="I150" s="14">
        <f t="shared" si="24"/>
        <v>10647</v>
      </c>
      <c r="J150" s="14">
        <f t="shared" si="25"/>
        <v>-142</v>
      </c>
      <c r="K150" s="15">
        <f t="shared" si="26"/>
        <v>-2.1320559782098243E-2</v>
      </c>
      <c r="L150" s="16" t="str">
        <f t="shared" si="27"/>
        <v>Valid</v>
      </c>
      <c r="M150" s="16" t="str">
        <f t="shared" si="28"/>
        <v>Valid</v>
      </c>
      <c r="N150" s="17" t="str">
        <f t="shared" si="29"/>
        <v>Stable/Reducing</v>
      </c>
      <c r="O150" s="16">
        <f t="shared" si="30"/>
        <v>1.6339285714285714</v>
      </c>
      <c r="P150" s="14">
        <f t="shared" si="32"/>
        <v>10521.142857142857</v>
      </c>
      <c r="Q150" s="16">
        <f t="shared" si="31"/>
        <v>2918.4580782596145</v>
      </c>
    </row>
    <row r="151" spans="1:17" x14ac:dyDescent="0.3">
      <c r="A151" s="13">
        <v>45169</v>
      </c>
      <c r="B151" s="13" t="str">
        <f t="shared" si="22"/>
        <v>August</v>
      </c>
      <c r="C151" s="13" t="str">
        <f t="shared" si="23"/>
        <v>2023-08</v>
      </c>
      <c r="D151" s="8">
        <v>113</v>
      </c>
      <c r="E151" s="8">
        <v>280</v>
      </c>
      <c r="F151" s="8">
        <v>237</v>
      </c>
      <c r="G151" s="8">
        <v>10140</v>
      </c>
      <c r="H151" s="8">
        <v>505</v>
      </c>
      <c r="I151" s="14">
        <f t="shared" si="24"/>
        <v>10420</v>
      </c>
      <c r="J151" s="14">
        <f t="shared" si="25"/>
        <v>-268</v>
      </c>
      <c r="K151" s="15">
        <f t="shared" si="26"/>
        <v>-1.2092130518234165E-2</v>
      </c>
      <c r="L151" s="16" t="str">
        <f t="shared" si="27"/>
        <v>Valid</v>
      </c>
      <c r="M151" s="16" t="str">
        <f t="shared" si="28"/>
        <v>Valid</v>
      </c>
      <c r="N151" s="17" t="str">
        <f t="shared" si="29"/>
        <v>Stable/Reducing</v>
      </c>
      <c r="O151" s="16">
        <f t="shared" si="30"/>
        <v>2.130801687763713</v>
      </c>
      <c r="P151" s="14">
        <f t="shared" si="32"/>
        <v>10533.714285714286</v>
      </c>
      <c r="Q151" s="16">
        <f t="shared" si="31"/>
        <v>2918.4580782596145</v>
      </c>
    </row>
    <row r="152" spans="1:17" x14ac:dyDescent="0.3">
      <c r="A152" s="13">
        <v>45173</v>
      </c>
      <c r="B152" s="13" t="str">
        <f t="shared" si="22"/>
        <v>September</v>
      </c>
      <c r="C152" s="13" t="str">
        <f t="shared" si="23"/>
        <v>2023-09</v>
      </c>
      <c r="D152" s="8">
        <v>196</v>
      </c>
      <c r="E152" s="8">
        <v>306</v>
      </c>
      <c r="F152" s="8">
        <v>187</v>
      </c>
      <c r="G152" s="8">
        <v>9988</v>
      </c>
      <c r="H152" s="8">
        <v>293</v>
      </c>
      <c r="I152" s="14">
        <f t="shared" si="24"/>
        <v>10294</v>
      </c>
      <c r="J152" s="14">
        <f t="shared" si="25"/>
        <v>-106</v>
      </c>
      <c r="K152" s="15">
        <f t="shared" si="26"/>
        <v>1.72916261900136E-2</v>
      </c>
      <c r="L152" s="16" t="str">
        <f t="shared" si="27"/>
        <v>Valid</v>
      </c>
      <c r="M152" s="16" t="str">
        <f t="shared" si="28"/>
        <v>Valid</v>
      </c>
      <c r="N152" s="17" t="str">
        <f t="shared" si="29"/>
        <v>Stable/Reducing</v>
      </c>
      <c r="O152" s="16">
        <f t="shared" si="30"/>
        <v>1.5668449197860963</v>
      </c>
      <c r="P152" s="14">
        <f t="shared" si="32"/>
        <v>10611.428571428571</v>
      </c>
      <c r="Q152" s="16">
        <f t="shared" si="31"/>
        <v>2918.4580782596145</v>
      </c>
    </row>
    <row r="153" spans="1:17" x14ac:dyDescent="0.3">
      <c r="A153" s="13">
        <v>45174</v>
      </c>
      <c r="B153" s="13" t="str">
        <f t="shared" si="22"/>
        <v>September</v>
      </c>
      <c r="C153" s="13" t="str">
        <f t="shared" si="23"/>
        <v>2023-09</v>
      </c>
      <c r="D153" s="8">
        <v>236</v>
      </c>
      <c r="E153" s="8">
        <v>330</v>
      </c>
      <c r="F153" s="8">
        <v>222</v>
      </c>
      <c r="G153" s="8">
        <v>10142</v>
      </c>
      <c r="H153" s="8">
        <v>243</v>
      </c>
      <c r="I153" s="14">
        <f t="shared" si="24"/>
        <v>10472</v>
      </c>
      <c r="J153" s="14">
        <f t="shared" si="25"/>
        <v>-21</v>
      </c>
      <c r="K153" s="15">
        <f t="shared" si="26"/>
        <v>1.0886172650878533E-2</v>
      </c>
      <c r="L153" s="16" t="str">
        <f t="shared" si="27"/>
        <v>Valid</v>
      </c>
      <c r="M153" s="16" t="str">
        <f t="shared" si="28"/>
        <v>Valid</v>
      </c>
      <c r="N153" s="17" t="str">
        <f t="shared" si="29"/>
        <v>Stable/Reducing</v>
      </c>
      <c r="O153" s="16">
        <f t="shared" si="30"/>
        <v>1.0945945945945945</v>
      </c>
      <c r="P153" s="14">
        <f t="shared" si="32"/>
        <v>10712.857142857143</v>
      </c>
      <c r="Q153" s="16">
        <f t="shared" si="31"/>
        <v>2918.4580782596145</v>
      </c>
    </row>
    <row r="154" spans="1:17" x14ac:dyDescent="0.3">
      <c r="A154" s="13">
        <v>45175</v>
      </c>
      <c r="B154" s="13" t="str">
        <f t="shared" si="22"/>
        <v>September</v>
      </c>
      <c r="C154" s="13" t="str">
        <f t="shared" si="23"/>
        <v>2023-09</v>
      </c>
      <c r="D154" s="8">
        <v>81</v>
      </c>
      <c r="E154" s="8">
        <v>230</v>
      </c>
      <c r="F154" s="8">
        <v>242</v>
      </c>
      <c r="G154" s="8">
        <v>10356</v>
      </c>
      <c r="H154" s="8">
        <v>291</v>
      </c>
      <c r="I154" s="14">
        <f t="shared" si="24"/>
        <v>10586</v>
      </c>
      <c r="J154" s="14">
        <f t="shared" si="25"/>
        <v>-49</v>
      </c>
      <c r="K154" s="15">
        <f t="shared" si="26"/>
        <v>7.36822218023805E-3</v>
      </c>
      <c r="L154" s="16" t="str">
        <f t="shared" si="27"/>
        <v>Invalid</v>
      </c>
      <c r="M154" s="16" t="str">
        <f t="shared" si="28"/>
        <v>Valid</v>
      </c>
      <c r="N154" s="17" t="str">
        <f t="shared" si="29"/>
        <v>Stable/Reducing</v>
      </c>
      <c r="O154" s="16">
        <f t="shared" si="30"/>
        <v>1.2024793388429753</v>
      </c>
      <c r="P154" s="14">
        <f t="shared" si="32"/>
        <v>10815.428571428571</v>
      </c>
      <c r="Q154" s="16">
        <f t="shared" si="31"/>
        <v>2918.4580782596145</v>
      </c>
    </row>
    <row r="155" spans="1:17" x14ac:dyDescent="0.3">
      <c r="A155" s="13">
        <v>45176</v>
      </c>
      <c r="B155" s="13" t="str">
        <f t="shared" si="22"/>
        <v>September</v>
      </c>
      <c r="C155" s="13" t="str">
        <f t="shared" si="23"/>
        <v>2023-09</v>
      </c>
      <c r="D155" s="8">
        <v>118</v>
      </c>
      <c r="E155" s="8">
        <v>245</v>
      </c>
      <c r="F155" s="8">
        <v>160</v>
      </c>
      <c r="G155" s="8">
        <v>10419</v>
      </c>
      <c r="H155" s="8">
        <v>398</v>
      </c>
      <c r="I155" s="14">
        <f t="shared" si="24"/>
        <v>10664</v>
      </c>
      <c r="J155" s="14">
        <f t="shared" si="25"/>
        <v>-238</v>
      </c>
      <c r="K155" s="15">
        <f t="shared" si="26"/>
        <v>-9.2835708927231815E-3</v>
      </c>
      <c r="L155" s="16" t="str">
        <f t="shared" si="27"/>
        <v>Valid</v>
      </c>
      <c r="M155" s="16" t="str">
        <f t="shared" si="28"/>
        <v>Valid</v>
      </c>
      <c r="N155" s="17" t="str">
        <f t="shared" si="29"/>
        <v>Stable/Reducing</v>
      </c>
      <c r="O155" s="16">
        <f t="shared" si="30"/>
        <v>2.4874999999999998</v>
      </c>
      <c r="P155" s="14">
        <f t="shared" si="32"/>
        <v>10882</v>
      </c>
      <c r="Q155" s="16">
        <f t="shared" si="31"/>
        <v>2918.4580782596145</v>
      </c>
    </row>
    <row r="156" spans="1:17" x14ac:dyDescent="0.3">
      <c r="A156" s="13">
        <v>45179</v>
      </c>
      <c r="B156" s="13" t="str">
        <f t="shared" si="22"/>
        <v>September</v>
      </c>
      <c r="C156" s="13" t="str">
        <f t="shared" si="23"/>
        <v>2023-09</v>
      </c>
      <c r="D156" s="8">
        <v>218</v>
      </c>
      <c r="E156" s="8">
        <v>283</v>
      </c>
      <c r="F156" s="8">
        <v>208</v>
      </c>
      <c r="G156" s="8">
        <v>10282</v>
      </c>
      <c r="H156" s="8">
        <v>382</v>
      </c>
      <c r="I156" s="14">
        <f t="shared" si="24"/>
        <v>10565</v>
      </c>
      <c r="J156" s="14">
        <f t="shared" si="25"/>
        <v>-174</v>
      </c>
      <c r="K156" s="15">
        <f t="shared" si="26"/>
        <v>1.609086606720303E-2</v>
      </c>
      <c r="L156" s="16" t="str">
        <f t="shared" si="27"/>
        <v>Valid</v>
      </c>
      <c r="M156" s="16" t="str">
        <f t="shared" si="28"/>
        <v>Valid</v>
      </c>
      <c r="N156" s="17" t="str">
        <f t="shared" si="29"/>
        <v>Stable/Reducing</v>
      </c>
      <c r="O156" s="16">
        <f t="shared" si="30"/>
        <v>1.8365384615384615</v>
      </c>
      <c r="P156" s="14">
        <f t="shared" si="32"/>
        <v>10962.714285714286</v>
      </c>
      <c r="Q156" s="16">
        <f t="shared" si="31"/>
        <v>2918.4580782596145</v>
      </c>
    </row>
    <row r="157" spans="1:17" x14ac:dyDescent="0.3">
      <c r="A157" s="13">
        <v>45180</v>
      </c>
      <c r="B157" s="13" t="str">
        <f t="shared" si="22"/>
        <v>September</v>
      </c>
      <c r="C157" s="13" t="str">
        <f t="shared" si="23"/>
        <v>2023-09</v>
      </c>
      <c r="D157" s="8">
        <v>132</v>
      </c>
      <c r="E157" s="8">
        <v>243</v>
      </c>
      <c r="F157" s="8">
        <v>183</v>
      </c>
      <c r="G157" s="8">
        <v>10492</v>
      </c>
      <c r="H157" s="8">
        <v>277</v>
      </c>
      <c r="I157" s="14">
        <f t="shared" si="24"/>
        <v>10735</v>
      </c>
      <c r="J157" s="14">
        <f t="shared" si="25"/>
        <v>-94</v>
      </c>
      <c r="K157" s="15">
        <f t="shared" si="26"/>
        <v>2.1332091290172335E-2</v>
      </c>
      <c r="L157" s="16" t="str">
        <f t="shared" si="27"/>
        <v>Valid</v>
      </c>
      <c r="M157" s="16" t="str">
        <f t="shared" si="28"/>
        <v>Valid</v>
      </c>
      <c r="N157" s="17" t="str">
        <f t="shared" si="29"/>
        <v>Stable/Reducing</v>
      </c>
      <c r="O157" s="16">
        <f t="shared" si="30"/>
        <v>1.5136612021857923</v>
      </c>
      <c r="P157" s="14">
        <f t="shared" si="32"/>
        <v>11079.428571428571</v>
      </c>
      <c r="Q157" s="16">
        <f t="shared" si="31"/>
        <v>2918.4580782596145</v>
      </c>
    </row>
    <row r="158" spans="1:17" x14ac:dyDescent="0.3">
      <c r="A158" s="13">
        <v>45181</v>
      </c>
      <c r="B158" s="13" t="str">
        <f t="shared" si="22"/>
        <v>September</v>
      </c>
      <c r="C158" s="13" t="str">
        <f t="shared" si="23"/>
        <v>2023-09</v>
      </c>
      <c r="D158" s="8">
        <v>224</v>
      </c>
      <c r="E158" s="8">
        <v>315</v>
      </c>
      <c r="F158" s="8">
        <v>152</v>
      </c>
      <c r="G158" s="8">
        <v>10649</v>
      </c>
      <c r="H158" s="8">
        <v>316</v>
      </c>
      <c r="I158" s="14">
        <f t="shared" si="24"/>
        <v>10964</v>
      </c>
      <c r="J158" s="14">
        <f t="shared" si="25"/>
        <v>-164</v>
      </c>
      <c r="K158" s="15">
        <f t="shared" si="26"/>
        <v>3.6483035388544327E-3</v>
      </c>
      <c r="L158" s="16" t="str">
        <f t="shared" si="27"/>
        <v>Valid</v>
      </c>
      <c r="M158" s="16" t="str">
        <f t="shared" si="28"/>
        <v>Valid</v>
      </c>
      <c r="N158" s="17" t="str">
        <f t="shared" si="29"/>
        <v>Stable/Reducing</v>
      </c>
      <c r="O158" s="16">
        <f t="shared" si="30"/>
        <v>2.0789473684210527</v>
      </c>
      <c r="P158" s="14">
        <f t="shared" si="32"/>
        <v>11170.714285714286</v>
      </c>
      <c r="Q158" s="16">
        <f t="shared" si="31"/>
        <v>2918.4580782596145</v>
      </c>
    </row>
    <row r="159" spans="1:17" x14ac:dyDescent="0.3">
      <c r="A159" s="13">
        <v>45182</v>
      </c>
      <c r="B159" s="13" t="str">
        <f t="shared" si="22"/>
        <v>September</v>
      </c>
      <c r="C159" s="13" t="str">
        <f t="shared" si="23"/>
        <v>2023-09</v>
      </c>
      <c r="D159" s="8">
        <v>167</v>
      </c>
      <c r="E159" s="8">
        <v>326</v>
      </c>
      <c r="F159" s="8">
        <v>213</v>
      </c>
      <c r="G159" s="8">
        <v>10678</v>
      </c>
      <c r="H159" s="8">
        <v>343</v>
      </c>
      <c r="I159" s="14">
        <f t="shared" si="24"/>
        <v>11004</v>
      </c>
      <c r="J159" s="14">
        <f t="shared" si="25"/>
        <v>-130</v>
      </c>
      <c r="K159" s="15">
        <f t="shared" si="26"/>
        <v>1.6902944383860415E-2</v>
      </c>
      <c r="L159" s="16" t="str">
        <f t="shared" si="27"/>
        <v>Valid</v>
      </c>
      <c r="M159" s="16" t="str">
        <f t="shared" si="28"/>
        <v>Valid</v>
      </c>
      <c r="N159" s="17" t="str">
        <f t="shared" si="29"/>
        <v>Stable/Reducing</v>
      </c>
      <c r="O159" s="16">
        <f t="shared" si="30"/>
        <v>1.6103286384976525</v>
      </c>
      <c r="P159" s="14">
        <f t="shared" si="32"/>
        <v>11226.142857142857</v>
      </c>
      <c r="Q159" s="16">
        <f t="shared" si="31"/>
        <v>2918.4580782596145</v>
      </c>
    </row>
    <row r="160" spans="1:17" x14ac:dyDescent="0.3">
      <c r="A160" s="13">
        <v>45183</v>
      </c>
      <c r="B160" s="13" t="str">
        <f t="shared" si="22"/>
        <v>September</v>
      </c>
      <c r="C160" s="13" t="str">
        <f t="shared" si="23"/>
        <v>2023-09</v>
      </c>
      <c r="D160" s="8">
        <v>209</v>
      </c>
      <c r="E160" s="8">
        <v>353</v>
      </c>
      <c r="F160" s="8">
        <v>232</v>
      </c>
      <c r="G160" s="8">
        <v>10837</v>
      </c>
      <c r="H160" s="8">
        <v>414</v>
      </c>
      <c r="I160" s="14">
        <f t="shared" si="24"/>
        <v>11190</v>
      </c>
      <c r="J160" s="14">
        <f t="shared" si="25"/>
        <v>-182</v>
      </c>
      <c r="K160" s="15">
        <f t="shared" si="26"/>
        <v>-1.2332439678284183E-2</v>
      </c>
      <c r="L160" s="16" t="str">
        <f t="shared" si="27"/>
        <v>Valid</v>
      </c>
      <c r="M160" s="16" t="str">
        <f t="shared" si="28"/>
        <v>Valid</v>
      </c>
      <c r="N160" s="17" t="str">
        <f t="shared" si="29"/>
        <v>Stable/Reducing</v>
      </c>
      <c r="O160" s="16">
        <f t="shared" si="30"/>
        <v>1.7844827586206897</v>
      </c>
      <c r="P160" s="14">
        <f t="shared" si="32"/>
        <v>11247.857142857143</v>
      </c>
      <c r="Q160" s="16">
        <f t="shared" si="31"/>
        <v>2918.4580782596145</v>
      </c>
    </row>
    <row r="161" spans="1:17" x14ac:dyDescent="0.3">
      <c r="A161" s="13">
        <v>45186</v>
      </c>
      <c r="B161" s="13" t="str">
        <f t="shared" si="22"/>
        <v>September</v>
      </c>
      <c r="C161" s="13" t="str">
        <f t="shared" si="23"/>
        <v>2023-09</v>
      </c>
      <c r="D161" s="8">
        <v>153</v>
      </c>
      <c r="E161" s="8">
        <v>253</v>
      </c>
      <c r="F161" s="8">
        <v>286</v>
      </c>
      <c r="G161" s="8">
        <v>10799</v>
      </c>
      <c r="H161" s="8">
        <v>427</v>
      </c>
      <c r="I161" s="14">
        <f t="shared" si="24"/>
        <v>11052</v>
      </c>
      <c r="J161" s="14">
        <f t="shared" si="25"/>
        <v>-141</v>
      </c>
      <c r="K161" s="15">
        <f t="shared" si="26"/>
        <v>1.6015200868621064E-2</v>
      </c>
      <c r="L161" s="16" t="str">
        <f t="shared" si="27"/>
        <v>Invalid</v>
      </c>
      <c r="M161" s="16" t="str">
        <f t="shared" si="28"/>
        <v>Valid</v>
      </c>
      <c r="N161" s="17" t="str">
        <f t="shared" si="29"/>
        <v>Stable/Reducing</v>
      </c>
      <c r="O161" s="16">
        <f t="shared" si="30"/>
        <v>1.4930069930069929</v>
      </c>
      <c r="P161" s="14">
        <f t="shared" si="32"/>
        <v>11234.571428571429</v>
      </c>
      <c r="Q161" s="16">
        <f t="shared" si="31"/>
        <v>2918.4580782596145</v>
      </c>
    </row>
    <row r="162" spans="1:17" x14ac:dyDescent="0.3">
      <c r="A162" s="13">
        <v>45187</v>
      </c>
      <c r="B162" s="13" t="str">
        <f t="shared" si="22"/>
        <v>September</v>
      </c>
      <c r="C162" s="13" t="str">
        <f t="shared" si="23"/>
        <v>2023-09</v>
      </c>
      <c r="D162" s="8">
        <v>180</v>
      </c>
      <c r="E162" s="8">
        <v>337</v>
      </c>
      <c r="F162" s="8">
        <v>219</v>
      </c>
      <c r="G162" s="8">
        <v>10892</v>
      </c>
      <c r="H162" s="8">
        <v>313</v>
      </c>
      <c r="I162" s="14">
        <f t="shared" si="24"/>
        <v>11229</v>
      </c>
      <c r="J162" s="14">
        <f t="shared" si="25"/>
        <v>-94</v>
      </c>
      <c r="K162" s="15">
        <f t="shared" si="26"/>
        <v>1.3625434143734972E-2</v>
      </c>
      <c r="L162" s="16" t="str">
        <f t="shared" si="27"/>
        <v>Valid</v>
      </c>
      <c r="M162" s="16" t="str">
        <f t="shared" si="28"/>
        <v>Valid</v>
      </c>
      <c r="N162" s="17" t="str">
        <f t="shared" si="29"/>
        <v>Stable/Reducing</v>
      </c>
      <c r="O162" s="16">
        <f t="shared" si="30"/>
        <v>1.4292237442922375</v>
      </c>
      <c r="P162" s="14">
        <f t="shared" si="32"/>
        <v>11266</v>
      </c>
      <c r="Q162" s="16">
        <f t="shared" si="31"/>
        <v>2918.4580782596145</v>
      </c>
    </row>
    <row r="163" spans="1:17" x14ac:dyDescent="0.3">
      <c r="A163" s="13">
        <v>45188</v>
      </c>
      <c r="B163" s="13" t="str">
        <f t="shared" si="22"/>
        <v>September</v>
      </c>
      <c r="C163" s="13" t="str">
        <f t="shared" si="23"/>
        <v>2023-09</v>
      </c>
      <c r="D163" s="8">
        <v>133</v>
      </c>
      <c r="E163" s="8">
        <v>287</v>
      </c>
      <c r="F163" s="8">
        <v>189</v>
      </c>
      <c r="G163" s="8">
        <v>11095</v>
      </c>
      <c r="H163" s="8">
        <v>260</v>
      </c>
      <c r="I163" s="14">
        <f t="shared" si="24"/>
        <v>11382</v>
      </c>
      <c r="J163" s="14">
        <f t="shared" si="25"/>
        <v>-71</v>
      </c>
      <c r="K163" s="15">
        <f t="shared" si="26"/>
        <v>-7.0286417149885785E-4</v>
      </c>
      <c r="L163" s="16" t="str">
        <f t="shared" si="27"/>
        <v>Valid</v>
      </c>
      <c r="M163" s="16" t="str">
        <f t="shared" si="28"/>
        <v>Valid</v>
      </c>
      <c r="N163" s="17" t="str">
        <f t="shared" si="29"/>
        <v>Stable/Reducing</v>
      </c>
      <c r="O163" s="16">
        <f t="shared" si="30"/>
        <v>1.3756613756613756</v>
      </c>
      <c r="P163" s="14">
        <f t="shared" si="32"/>
        <v>11279.142857142857</v>
      </c>
      <c r="Q163" s="16">
        <f t="shared" si="31"/>
        <v>2918.4580782596145</v>
      </c>
    </row>
    <row r="164" spans="1:17" x14ac:dyDescent="0.3">
      <c r="A164" s="13">
        <v>45189</v>
      </c>
      <c r="B164" s="13" t="str">
        <f t="shared" si="22"/>
        <v>September</v>
      </c>
      <c r="C164" s="13" t="str">
        <f t="shared" si="23"/>
        <v>2023-09</v>
      </c>
      <c r="D164" s="8">
        <v>187</v>
      </c>
      <c r="E164" s="8">
        <v>310</v>
      </c>
      <c r="F164" s="8">
        <v>247</v>
      </c>
      <c r="G164" s="8">
        <v>11064</v>
      </c>
      <c r="H164" s="8">
        <v>364</v>
      </c>
      <c r="I164" s="14">
        <f t="shared" si="24"/>
        <v>11374</v>
      </c>
      <c r="J164" s="14">
        <f t="shared" si="25"/>
        <v>-117</v>
      </c>
      <c r="K164" s="15">
        <f t="shared" si="26"/>
        <v>-1.9342359767891683E-3</v>
      </c>
      <c r="L164" s="16" t="str">
        <f t="shared" si="27"/>
        <v>Valid</v>
      </c>
      <c r="M164" s="16" t="str">
        <f t="shared" si="28"/>
        <v>Valid</v>
      </c>
      <c r="N164" s="17" t="str">
        <f t="shared" si="29"/>
        <v>Stable/Reducing</v>
      </c>
      <c r="O164" s="16">
        <f t="shared" si="30"/>
        <v>1.4736842105263157</v>
      </c>
      <c r="P164" s="14">
        <f t="shared" si="32"/>
        <v>11245.428571428571</v>
      </c>
      <c r="Q164" s="16">
        <f t="shared" si="31"/>
        <v>2918.4580782596145</v>
      </c>
    </row>
    <row r="165" spans="1:17" x14ac:dyDescent="0.3">
      <c r="A165" s="13">
        <v>45190</v>
      </c>
      <c r="B165" s="13" t="str">
        <f t="shared" si="22"/>
        <v>September</v>
      </c>
      <c r="C165" s="13" t="str">
        <f t="shared" si="23"/>
        <v>2023-09</v>
      </c>
      <c r="D165" s="8">
        <v>168</v>
      </c>
      <c r="E165" s="8">
        <v>285</v>
      </c>
      <c r="F165" s="8">
        <v>210</v>
      </c>
      <c r="G165" s="8">
        <v>11067</v>
      </c>
      <c r="H165" s="8">
        <v>428</v>
      </c>
      <c r="I165" s="14">
        <f t="shared" si="24"/>
        <v>11352</v>
      </c>
      <c r="J165" s="14">
        <f t="shared" si="25"/>
        <v>-218</v>
      </c>
      <c r="K165" s="15">
        <f t="shared" si="26"/>
        <v>-1.7265680056377731E-2</v>
      </c>
      <c r="L165" s="16" t="str">
        <f t="shared" si="27"/>
        <v>Valid</v>
      </c>
      <c r="M165" s="16" t="str">
        <f t="shared" si="28"/>
        <v>Valid</v>
      </c>
      <c r="N165" s="17" t="str">
        <f t="shared" si="29"/>
        <v>Stable/Reducing</v>
      </c>
      <c r="O165" s="16">
        <f t="shared" si="30"/>
        <v>2.038095238095238</v>
      </c>
      <c r="P165" s="14">
        <f t="shared" si="32"/>
        <v>11152</v>
      </c>
      <c r="Q165" s="16">
        <f t="shared" si="31"/>
        <v>2918.4580782596145</v>
      </c>
    </row>
    <row r="166" spans="1:17" x14ac:dyDescent="0.3">
      <c r="A166" s="13">
        <v>45193</v>
      </c>
      <c r="B166" s="13" t="str">
        <f t="shared" si="22"/>
        <v>September</v>
      </c>
      <c r="C166" s="13" t="str">
        <f t="shared" si="23"/>
        <v>2023-09</v>
      </c>
      <c r="D166" s="8">
        <v>269</v>
      </c>
      <c r="E166" s="8">
        <v>412</v>
      </c>
      <c r="F166" s="8">
        <v>204</v>
      </c>
      <c r="G166" s="8">
        <v>10744</v>
      </c>
      <c r="H166" s="8">
        <v>403</v>
      </c>
      <c r="I166" s="14">
        <f t="shared" si="24"/>
        <v>11156</v>
      </c>
      <c r="J166" s="14">
        <f t="shared" si="25"/>
        <v>-199</v>
      </c>
      <c r="K166" s="15">
        <f t="shared" si="26"/>
        <v>-5.2886339189673719E-3</v>
      </c>
      <c r="L166" s="16" t="str">
        <f t="shared" si="27"/>
        <v>Valid</v>
      </c>
      <c r="M166" s="16" t="str">
        <f t="shared" si="28"/>
        <v>Valid</v>
      </c>
      <c r="N166" s="17" t="str">
        <f t="shared" si="29"/>
        <v>Stable/Reducing</v>
      </c>
      <c r="O166" s="16">
        <f t="shared" si="30"/>
        <v>1.9754901960784315</v>
      </c>
      <c r="P166" s="14">
        <f t="shared" si="32"/>
        <v>11086.571428571429</v>
      </c>
      <c r="Q166" s="16">
        <f t="shared" si="31"/>
        <v>2918.4580782596145</v>
      </c>
    </row>
    <row r="167" spans="1:17" x14ac:dyDescent="0.3">
      <c r="A167" s="13">
        <v>45194</v>
      </c>
      <c r="B167" s="13" t="str">
        <f t="shared" si="22"/>
        <v>September</v>
      </c>
      <c r="C167" s="13" t="str">
        <f t="shared" si="23"/>
        <v>2023-09</v>
      </c>
      <c r="D167" s="8">
        <v>100</v>
      </c>
      <c r="E167" s="8">
        <v>255</v>
      </c>
      <c r="F167" s="8">
        <v>236</v>
      </c>
      <c r="G167" s="8">
        <v>10842</v>
      </c>
      <c r="H167" s="8">
        <v>284</v>
      </c>
      <c r="I167" s="14">
        <f t="shared" si="24"/>
        <v>11097</v>
      </c>
      <c r="J167" s="14">
        <f t="shared" si="25"/>
        <v>-48</v>
      </c>
      <c r="K167" s="15">
        <f t="shared" si="26"/>
        <v>1.5770027935478059E-2</v>
      </c>
      <c r="L167" s="16" t="str">
        <f t="shared" si="27"/>
        <v>Valid</v>
      </c>
      <c r="M167" s="16" t="str">
        <f t="shared" si="28"/>
        <v>Valid</v>
      </c>
      <c r="N167" s="17" t="str">
        <f t="shared" si="29"/>
        <v>Stable/Reducing</v>
      </c>
      <c r="O167" s="16">
        <f t="shared" si="30"/>
        <v>1.2033898305084745</v>
      </c>
      <c r="P167" s="14">
        <f t="shared" si="32"/>
        <v>11060.571428571429</v>
      </c>
      <c r="Q167" s="16">
        <f t="shared" si="31"/>
        <v>2918.4580782596145</v>
      </c>
    </row>
    <row r="168" spans="1:17" x14ac:dyDescent="0.3">
      <c r="A168" s="13">
        <v>45195</v>
      </c>
      <c r="B168" s="13" t="str">
        <f t="shared" si="22"/>
        <v>September</v>
      </c>
      <c r="C168" s="13" t="str">
        <f t="shared" si="23"/>
        <v>2023-09</v>
      </c>
      <c r="D168" s="8">
        <v>205</v>
      </c>
      <c r="E168" s="8">
        <v>294</v>
      </c>
      <c r="F168" s="8">
        <v>177</v>
      </c>
      <c r="G168" s="8">
        <v>10978</v>
      </c>
      <c r="H168" s="8">
        <v>332</v>
      </c>
      <c r="I168" s="14">
        <f t="shared" si="24"/>
        <v>11272</v>
      </c>
      <c r="J168" s="14">
        <f t="shared" si="25"/>
        <v>-155</v>
      </c>
      <c r="K168" s="15">
        <f t="shared" si="26"/>
        <v>4.3470546486870125E-3</v>
      </c>
      <c r="L168" s="16" t="str">
        <f t="shared" si="27"/>
        <v>Valid</v>
      </c>
      <c r="M168" s="16" t="str">
        <f t="shared" si="28"/>
        <v>Valid</v>
      </c>
      <c r="N168" s="17" t="str">
        <f t="shared" si="29"/>
        <v>Stable/Reducing</v>
      </c>
      <c r="O168" s="16">
        <f t="shared" si="30"/>
        <v>1.8757062146892656</v>
      </c>
      <c r="P168" s="14">
        <f t="shared" si="32"/>
        <v>11050.857142857143</v>
      </c>
      <c r="Q168" s="16">
        <f t="shared" si="31"/>
        <v>2918.4580782596145</v>
      </c>
    </row>
    <row r="169" spans="1:17" x14ac:dyDescent="0.3">
      <c r="A169" s="13">
        <v>45196</v>
      </c>
      <c r="B169" s="13" t="str">
        <f t="shared" si="22"/>
        <v>September</v>
      </c>
      <c r="C169" s="13" t="str">
        <f t="shared" si="23"/>
        <v>2023-09</v>
      </c>
      <c r="D169" s="8">
        <v>161</v>
      </c>
      <c r="E169" s="8">
        <v>304</v>
      </c>
      <c r="F169" s="8">
        <v>211</v>
      </c>
      <c r="G169" s="8">
        <v>11017</v>
      </c>
      <c r="H169" s="8">
        <v>331</v>
      </c>
      <c r="I169" s="14">
        <f t="shared" si="24"/>
        <v>11321</v>
      </c>
      <c r="J169" s="14">
        <f t="shared" si="25"/>
        <v>-120</v>
      </c>
      <c r="K169" s="15">
        <f t="shared" si="26"/>
        <v>-1.545799841003445E-2</v>
      </c>
      <c r="L169" s="16" t="str">
        <f t="shared" si="27"/>
        <v>Valid</v>
      </c>
      <c r="M169" s="16" t="str">
        <f t="shared" si="28"/>
        <v>Valid</v>
      </c>
      <c r="N169" s="17" t="str">
        <f t="shared" si="29"/>
        <v>Stable/Reducing</v>
      </c>
      <c r="O169" s="16">
        <f t="shared" si="30"/>
        <v>1.5687203791469195</v>
      </c>
      <c r="P169" s="14">
        <f t="shared" si="32"/>
        <v>11040.571428571429</v>
      </c>
      <c r="Q169" s="16">
        <f t="shared" si="31"/>
        <v>2918.4580782596145</v>
      </c>
    </row>
    <row r="170" spans="1:17" x14ac:dyDescent="0.3">
      <c r="A170" s="13">
        <v>45197</v>
      </c>
      <c r="B170" s="13" t="str">
        <f t="shared" si="22"/>
        <v>September</v>
      </c>
      <c r="C170" s="13" t="str">
        <f t="shared" si="23"/>
        <v>2023-09</v>
      </c>
      <c r="D170" s="8">
        <v>57</v>
      </c>
      <c r="E170" s="8">
        <v>162</v>
      </c>
      <c r="F170" s="8">
        <v>193</v>
      </c>
      <c r="G170" s="8">
        <v>10984</v>
      </c>
      <c r="H170" s="8">
        <v>447</v>
      </c>
      <c r="I170" s="14">
        <f t="shared" si="24"/>
        <v>11146</v>
      </c>
      <c r="J170" s="14">
        <f t="shared" si="25"/>
        <v>-254</v>
      </c>
      <c r="K170" s="15">
        <f t="shared" si="26"/>
        <v>-3.8219989233805853E-2</v>
      </c>
      <c r="L170" s="16" t="str">
        <f t="shared" si="27"/>
        <v>Invalid</v>
      </c>
      <c r="M170" s="16" t="str">
        <f t="shared" si="28"/>
        <v>Valid</v>
      </c>
      <c r="N170" s="17" t="str">
        <f t="shared" si="29"/>
        <v>Stable/Reducing</v>
      </c>
      <c r="O170" s="16">
        <f t="shared" si="30"/>
        <v>2.3160621761658029</v>
      </c>
      <c r="P170" s="14">
        <f t="shared" si="32"/>
        <v>10978.714285714286</v>
      </c>
      <c r="Q170" s="16">
        <f t="shared" si="31"/>
        <v>2918.4580782596145</v>
      </c>
    </row>
    <row r="171" spans="1:17" x14ac:dyDescent="0.3">
      <c r="A171" s="13">
        <v>45200</v>
      </c>
      <c r="B171" s="13" t="str">
        <f t="shared" si="22"/>
        <v>October</v>
      </c>
      <c r="C171" s="13" t="str">
        <f t="shared" si="23"/>
        <v>2023-10</v>
      </c>
      <c r="D171" s="8">
        <v>80</v>
      </c>
      <c r="E171" s="8">
        <v>122</v>
      </c>
      <c r="F171" s="8">
        <v>152</v>
      </c>
      <c r="G171" s="8">
        <v>10598</v>
      </c>
      <c r="H171" s="8">
        <v>493</v>
      </c>
      <c r="I171" s="14">
        <f t="shared" si="24"/>
        <v>10720</v>
      </c>
      <c r="J171" s="14">
        <f t="shared" si="25"/>
        <v>-341</v>
      </c>
      <c r="K171" s="15">
        <f t="shared" si="26"/>
        <v>1.6231343283582091E-2</v>
      </c>
      <c r="L171" s="16" t="str">
        <f t="shared" si="27"/>
        <v>Invalid</v>
      </c>
      <c r="M171" s="16" t="str">
        <f t="shared" si="28"/>
        <v>Valid</v>
      </c>
      <c r="N171" s="17" t="str">
        <f t="shared" si="29"/>
        <v>Stable/Reducing</v>
      </c>
      <c r="O171" s="16">
        <f t="shared" si="30"/>
        <v>3.2434210526315788</v>
      </c>
      <c r="P171" s="14">
        <f t="shared" si="32"/>
        <v>10953.571428571429</v>
      </c>
      <c r="Q171" s="16">
        <f t="shared" si="31"/>
        <v>2918.4580782596145</v>
      </c>
    </row>
    <row r="172" spans="1:17" x14ac:dyDescent="0.3">
      <c r="A172" s="13">
        <v>45201</v>
      </c>
      <c r="B172" s="13" t="str">
        <f t="shared" si="22"/>
        <v>October</v>
      </c>
      <c r="C172" s="13" t="str">
        <f t="shared" si="23"/>
        <v>2023-10</v>
      </c>
      <c r="D172" s="8">
        <v>107</v>
      </c>
      <c r="E172" s="8">
        <v>170</v>
      </c>
      <c r="F172" s="8">
        <v>133</v>
      </c>
      <c r="G172" s="8">
        <v>10724</v>
      </c>
      <c r="H172" s="8">
        <v>284</v>
      </c>
      <c r="I172" s="14">
        <f t="shared" si="24"/>
        <v>10894</v>
      </c>
      <c r="J172" s="14">
        <f t="shared" si="25"/>
        <v>-151</v>
      </c>
      <c r="K172" s="15">
        <f t="shared" si="26"/>
        <v>7.3434918303653387E-3</v>
      </c>
      <c r="L172" s="16" t="str">
        <f t="shared" si="27"/>
        <v>Valid</v>
      </c>
      <c r="M172" s="16" t="str">
        <f t="shared" si="28"/>
        <v>Valid</v>
      </c>
      <c r="N172" s="17" t="str">
        <f t="shared" si="29"/>
        <v>Stable/Reducing</v>
      </c>
      <c r="O172" s="16">
        <f t="shared" si="30"/>
        <v>2.1353383458646618</v>
      </c>
      <c r="P172" s="14">
        <f t="shared" si="32"/>
        <v>10999.714285714286</v>
      </c>
      <c r="Q172" s="16">
        <f t="shared" si="31"/>
        <v>2918.4580782596145</v>
      </c>
    </row>
    <row r="173" spans="1:17" x14ac:dyDescent="0.3">
      <c r="A173" s="13">
        <v>45202</v>
      </c>
      <c r="B173" s="13" t="str">
        <f t="shared" si="22"/>
        <v>October</v>
      </c>
      <c r="C173" s="13" t="str">
        <f t="shared" si="23"/>
        <v>2023-10</v>
      </c>
      <c r="D173" s="8">
        <v>99</v>
      </c>
      <c r="E173" s="8">
        <v>156</v>
      </c>
      <c r="F173" s="8">
        <v>139</v>
      </c>
      <c r="G173" s="8">
        <v>10818</v>
      </c>
      <c r="H173" s="8">
        <v>287</v>
      </c>
      <c r="I173" s="14">
        <f t="shared" si="24"/>
        <v>10974</v>
      </c>
      <c r="J173" s="14">
        <f t="shared" si="25"/>
        <v>-148</v>
      </c>
      <c r="K173" s="15">
        <f t="shared" si="26"/>
        <v>5.011846181884454E-3</v>
      </c>
      <c r="L173" s="16" t="str">
        <f t="shared" si="27"/>
        <v>Valid</v>
      </c>
      <c r="M173" s="16" t="str">
        <f t="shared" si="28"/>
        <v>Valid</v>
      </c>
      <c r="N173" s="17" t="str">
        <f t="shared" si="29"/>
        <v>Stable/Reducing</v>
      </c>
      <c r="O173" s="16">
        <f t="shared" si="30"/>
        <v>2.064748201438849</v>
      </c>
      <c r="P173" s="14">
        <f t="shared" si="32"/>
        <v>11025.142857142857</v>
      </c>
      <c r="Q173" s="16">
        <f t="shared" si="31"/>
        <v>2918.4580782596145</v>
      </c>
    </row>
    <row r="174" spans="1:17" x14ac:dyDescent="0.3">
      <c r="A174" s="13">
        <v>45203</v>
      </c>
      <c r="B174" s="13" t="str">
        <f t="shared" si="22"/>
        <v>October</v>
      </c>
      <c r="C174" s="13" t="str">
        <f t="shared" si="23"/>
        <v>2023-10</v>
      </c>
      <c r="D174" s="8">
        <v>25</v>
      </c>
      <c r="E174" s="8">
        <v>66</v>
      </c>
      <c r="F174" s="8">
        <v>94</v>
      </c>
      <c r="G174" s="8">
        <v>10963</v>
      </c>
      <c r="H174" s="8">
        <v>330</v>
      </c>
      <c r="I174" s="14">
        <f t="shared" si="24"/>
        <v>11029</v>
      </c>
      <c r="J174" s="14">
        <f t="shared" si="25"/>
        <v>-236</v>
      </c>
      <c r="K174" s="15">
        <f t="shared" si="26"/>
        <v>1.5504578837609938E-2</v>
      </c>
      <c r="L174" s="16" t="str">
        <f t="shared" si="27"/>
        <v>Invalid</v>
      </c>
      <c r="M174" s="16" t="str">
        <f t="shared" si="28"/>
        <v>Valid</v>
      </c>
      <c r="N174" s="17" t="str">
        <f t="shared" si="29"/>
        <v>Stable/Reducing</v>
      </c>
      <c r="O174" s="16">
        <f t="shared" si="30"/>
        <v>3.5106382978723403</v>
      </c>
      <c r="P174" s="14">
        <f t="shared" si="32"/>
        <v>10979.285714285714</v>
      </c>
      <c r="Q174" s="16">
        <f t="shared" si="31"/>
        <v>2918.4580782596145</v>
      </c>
    </row>
    <row r="175" spans="1:17" x14ac:dyDescent="0.3">
      <c r="A175" s="13">
        <v>45204</v>
      </c>
      <c r="B175" s="13" t="str">
        <f t="shared" si="22"/>
        <v>October</v>
      </c>
      <c r="C175" s="13" t="str">
        <f t="shared" si="23"/>
        <v>2023-10</v>
      </c>
      <c r="D175" s="8">
        <v>35</v>
      </c>
      <c r="E175" s="8">
        <v>70</v>
      </c>
      <c r="F175" s="8">
        <v>53</v>
      </c>
      <c r="G175" s="8">
        <v>11130</v>
      </c>
      <c r="H175" s="8">
        <v>427</v>
      </c>
      <c r="I175" s="14">
        <f t="shared" si="24"/>
        <v>11200</v>
      </c>
      <c r="J175" s="14">
        <f t="shared" si="25"/>
        <v>-374</v>
      </c>
      <c r="K175" s="15">
        <f t="shared" si="26"/>
        <v>-2.7857142857142858E-2</v>
      </c>
      <c r="L175" s="16" t="str">
        <f t="shared" si="27"/>
        <v>Valid</v>
      </c>
      <c r="M175" s="16" t="str">
        <f t="shared" si="28"/>
        <v>Valid</v>
      </c>
      <c r="N175" s="17" t="str">
        <f t="shared" si="29"/>
        <v>Stable/Reducing</v>
      </c>
      <c r="O175" s="16">
        <f t="shared" si="30"/>
        <v>8.0566037735849054</v>
      </c>
      <c r="P175" s="14">
        <f t="shared" si="32"/>
        <v>10936.857142857143</v>
      </c>
      <c r="Q175" s="16">
        <f t="shared" si="31"/>
        <v>2918.4580782596145</v>
      </c>
    </row>
    <row r="176" spans="1:17" x14ac:dyDescent="0.3">
      <c r="A176" s="13">
        <v>45208</v>
      </c>
      <c r="B176" s="13" t="str">
        <f t="shared" si="22"/>
        <v>October</v>
      </c>
      <c r="C176" s="13" t="str">
        <f t="shared" si="23"/>
        <v>2023-10</v>
      </c>
      <c r="D176" s="8">
        <v>43</v>
      </c>
      <c r="E176" s="8">
        <v>73</v>
      </c>
      <c r="F176" s="8">
        <v>64</v>
      </c>
      <c r="G176" s="8">
        <v>10815</v>
      </c>
      <c r="H176" s="8">
        <v>282</v>
      </c>
      <c r="I176" s="14">
        <f t="shared" si="24"/>
        <v>10888</v>
      </c>
      <c r="J176" s="14">
        <f t="shared" si="25"/>
        <v>-218</v>
      </c>
      <c r="K176" s="15">
        <f t="shared" si="26"/>
        <v>7.5312270389419544E-3</v>
      </c>
      <c r="L176" s="16" t="str">
        <f t="shared" si="27"/>
        <v>Valid</v>
      </c>
      <c r="M176" s="16" t="str">
        <f t="shared" si="28"/>
        <v>Valid</v>
      </c>
      <c r="N176" s="17" t="str">
        <f t="shared" si="29"/>
        <v>Stable/Reducing</v>
      </c>
      <c r="O176" s="16">
        <f t="shared" si="30"/>
        <v>4.40625</v>
      </c>
      <c r="P176" s="14">
        <f t="shared" si="32"/>
        <v>10870.714285714286</v>
      </c>
      <c r="Q176" s="16">
        <f t="shared" si="31"/>
        <v>2918.4580782596145</v>
      </c>
    </row>
    <row r="177" spans="1:17" x14ac:dyDescent="0.3">
      <c r="A177" s="13">
        <v>45209</v>
      </c>
      <c r="B177" s="13" t="str">
        <f t="shared" si="22"/>
        <v>October</v>
      </c>
      <c r="C177" s="13" t="str">
        <f t="shared" si="23"/>
        <v>2023-10</v>
      </c>
      <c r="D177" s="8">
        <v>41</v>
      </c>
      <c r="E177" s="8">
        <v>60</v>
      </c>
      <c r="F177" s="8">
        <v>71</v>
      </c>
      <c r="G177" s="8">
        <v>10910</v>
      </c>
      <c r="H177" s="8">
        <v>257</v>
      </c>
      <c r="I177" s="14">
        <f t="shared" si="24"/>
        <v>10970</v>
      </c>
      <c r="J177" s="14">
        <f t="shared" si="25"/>
        <v>-186</v>
      </c>
      <c r="K177" s="15">
        <f t="shared" si="26"/>
        <v>6.6545123062898819E-3</v>
      </c>
      <c r="L177" s="16" t="str">
        <f t="shared" si="27"/>
        <v>Invalid</v>
      </c>
      <c r="M177" s="16" t="str">
        <f t="shared" si="28"/>
        <v>Valid</v>
      </c>
      <c r="N177" s="17" t="str">
        <f t="shared" si="29"/>
        <v>Stable/Reducing</v>
      </c>
      <c r="O177" s="16">
        <f t="shared" si="30"/>
        <v>3.619718309859155</v>
      </c>
      <c r="P177" s="14">
        <f t="shared" si="32"/>
        <v>10834.571428571429</v>
      </c>
      <c r="Q177" s="16">
        <f t="shared" si="31"/>
        <v>2918.4580782596145</v>
      </c>
    </row>
    <row r="178" spans="1:17" x14ac:dyDescent="0.3">
      <c r="A178" s="13">
        <v>45210</v>
      </c>
      <c r="B178" s="13" t="str">
        <f t="shared" si="22"/>
        <v>October</v>
      </c>
      <c r="C178" s="13" t="str">
        <f t="shared" si="23"/>
        <v>2023-10</v>
      </c>
      <c r="D178" s="8">
        <v>65</v>
      </c>
      <c r="E178" s="8">
        <v>83</v>
      </c>
      <c r="F178" s="8">
        <v>65</v>
      </c>
      <c r="G178" s="8">
        <v>10960</v>
      </c>
      <c r="H178" s="8">
        <v>266</v>
      </c>
      <c r="I178" s="14">
        <f t="shared" si="24"/>
        <v>11043</v>
      </c>
      <c r="J178" s="14">
        <f t="shared" si="25"/>
        <v>-201</v>
      </c>
      <c r="K178" s="15">
        <f t="shared" si="26"/>
        <v>2.6260979806212079E-3</v>
      </c>
      <c r="L178" s="16" t="str">
        <f t="shared" si="27"/>
        <v>Valid</v>
      </c>
      <c r="M178" s="16" t="str">
        <f t="shared" si="28"/>
        <v>Valid</v>
      </c>
      <c r="N178" s="17" t="str">
        <f t="shared" si="29"/>
        <v>Stable/Reducing</v>
      </c>
      <c r="O178" s="16">
        <f t="shared" si="30"/>
        <v>4.092307692307692</v>
      </c>
      <c r="P178" s="14">
        <f t="shared" si="32"/>
        <v>10764.714285714286</v>
      </c>
      <c r="Q178" s="16">
        <f t="shared" si="31"/>
        <v>2918.4580782596145</v>
      </c>
    </row>
    <row r="179" spans="1:17" x14ac:dyDescent="0.3">
      <c r="A179" s="13">
        <v>45211</v>
      </c>
      <c r="B179" s="13" t="str">
        <f t="shared" si="22"/>
        <v>October</v>
      </c>
      <c r="C179" s="13" t="str">
        <f t="shared" si="23"/>
        <v>2023-10</v>
      </c>
      <c r="D179" s="8">
        <v>38</v>
      </c>
      <c r="E179" s="8">
        <v>80</v>
      </c>
      <c r="F179" s="8">
        <v>82</v>
      </c>
      <c r="G179" s="8">
        <v>10992</v>
      </c>
      <c r="H179" s="8">
        <v>398</v>
      </c>
      <c r="I179" s="14">
        <f t="shared" si="24"/>
        <v>11072</v>
      </c>
      <c r="J179" s="14">
        <f t="shared" si="25"/>
        <v>-316</v>
      </c>
      <c r="K179" s="15">
        <f t="shared" si="26"/>
        <v>-3.784320809248555E-2</v>
      </c>
      <c r="L179" s="16" t="str">
        <f t="shared" si="27"/>
        <v>Invalid</v>
      </c>
      <c r="M179" s="16" t="str">
        <f t="shared" si="28"/>
        <v>Valid</v>
      </c>
      <c r="N179" s="17" t="str">
        <f t="shared" si="29"/>
        <v>Stable/Reducing</v>
      </c>
      <c r="O179" s="16">
        <f t="shared" si="30"/>
        <v>4.8536585365853657</v>
      </c>
      <c r="P179" s="14">
        <f t="shared" si="32"/>
        <v>10573.142857142857</v>
      </c>
      <c r="Q179" s="16">
        <f t="shared" si="31"/>
        <v>2918.4580782596145</v>
      </c>
    </row>
    <row r="180" spans="1:17" x14ac:dyDescent="0.3">
      <c r="A180" s="13">
        <v>45214</v>
      </c>
      <c r="B180" s="13" t="str">
        <f t="shared" si="22"/>
        <v>October</v>
      </c>
      <c r="C180" s="13" t="str">
        <f t="shared" si="23"/>
        <v>2023-10</v>
      </c>
      <c r="D180" s="8">
        <v>56</v>
      </c>
      <c r="E180" s="8">
        <v>82</v>
      </c>
      <c r="F180" s="8">
        <v>68</v>
      </c>
      <c r="G180" s="8">
        <v>10571</v>
      </c>
      <c r="H180" s="8">
        <v>434</v>
      </c>
      <c r="I180" s="14">
        <f t="shared" si="24"/>
        <v>10653</v>
      </c>
      <c r="J180" s="14">
        <f t="shared" si="25"/>
        <v>-366</v>
      </c>
      <c r="K180" s="15">
        <f t="shared" si="26"/>
        <v>7.4157514315216369E-3</v>
      </c>
      <c r="L180" s="16" t="str">
        <f t="shared" si="27"/>
        <v>Valid</v>
      </c>
      <c r="M180" s="16" t="str">
        <f t="shared" si="28"/>
        <v>Valid</v>
      </c>
      <c r="N180" s="17" t="str">
        <f t="shared" si="29"/>
        <v>Stable/Reducing</v>
      </c>
      <c r="O180" s="16">
        <f t="shared" si="30"/>
        <v>6.382352941176471</v>
      </c>
      <c r="P180" s="14">
        <f t="shared" si="32"/>
        <v>10361.142857142857</v>
      </c>
      <c r="Q180" s="16">
        <f t="shared" si="31"/>
        <v>2918.4580782596145</v>
      </c>
    </row>
    <row r="181" spans="1:17" x14ac:dyDescent="0.3">
      <c r="A181" s="13">
        <v>45215</v>
      </c>
      <c r="B181" s="13" t="str">
        <f t="shared" si="22"/>
        <v>October</v>
      </c>
      <c r="C181" s="13" t="str">
        <f t="shared" si="23"/>
        <v>2023-10</v>
      </c>
      <c r="D181" s="8">
        <v>74</v>
      </c>
      <c r="E181" s="8">
        <v>103</v>
      </c>
      <c r="F181" s="8">
        <v>80</v>
      </c>
      <c r="G181" s="8">
        <v>10629</v>
      </c>
      <c r="H181" s="8">
        <v>331</v>
      </c>
      <c r="I181" s="14">
        <f t="shared" si="24"/>
        <v>10732</v>
      </c>
      <c r="J181" s="14">
        <f t="shared" si="25"/>
        <v>-251</v>
      </c>
      <c r="K181" s="15">
        <f t="shared" si="26"/>
        <v>4.6589638464405515E-4</v>
      </c>
      <c r="L181" s="16" t="str">
        <f t="shared" si="27"/>
        <v>Valid</v>
      </c>
      <c r="M181" s="16" t="str">
        <f t="shared" si="28"/>
        <v>Valid</v>
      </c>
      <c r="N181" s="17" t="str">
        <f t="shared" si="29"/>
        <v>Stable/Reducing</v>
      </c>
      <c r="O181" s="16">
        <f t="shared" si="30"/>
        <v>4.1375000000000002</v>
      </c>
      <c r="P181" s="14">
        <f t="shared" si="32"/>
        <v>10198.428571428571</v>
      </c>
      <c r="Q181" s="16">
        <f t="shared" si="31"/>
        <v>2918.4580782596145</v>
      </c>
    </row>
    <row r="182" spans="1:17" x14ac:dyDescent="0.3">
      <c r="A182" s="13">
        <v>45216</v>
      </c>
      <c r="B182" s="13" t="str">
        <f t="shared" si="22"/>
        <v>October</v>
      </c>
      <c r="C182" s="13" t="str">
        <f t="shared" si="23"/>
        <v>2023-10</v>
      </c>
      <c r="D182" s="8">
        <v>68</v>
      </c>
      <c r="E182" s="8">
        <v>107</v>
      </c>
      <c r="F182" s="8">
        <v>102</v>
      </c>
      <c r="G182" s="8">
        <v>10630</v>
      </c>
      <c r="H182" s="8">
        <v>315</v>
      </c>
      <c r="I182" s="14">
        <f t="shared" si="24"/>
        <v>10737</v>
      </c>
      <c r="J182" s="14">
        <f t="shared" si="25"/>
        <v>-213</v>
      </c>
      <c r="K182" s="15">
        <f t="shared" si="26"/>
        <v>-9.4998602961721152E-3</v>
      </c>
      <c r="L182" s="16" t="str">
        <f t="shared" si="27"/>
        <v>Valid</v>
      </c>
      <c r="M182" s="16" t="str">
        <f t="shared" si="28"/>
        <v>Valid</v>
      </c>
      <c r="N182" s="17" t="str">
        <f t="shared" si="29"/>
        <v>Stable/Reducing</v>
      </c>
      <c r="O182" s="16">
        <f t="shared" si="30"/>
        <v>3.0882352941176472</v>
      </c>
      <c r="P182" s="14">
        <f t="shared" si="32"/>
        <v>10010.285714285714</v>
      </c>
      <c r="Q182" s="16">
        <f t="shared" si="31"/>
        <v>2918.4580782596145</v>
      </c>
    </row>
    <row r="183" spans="1:17" x14ac:dyDescent="0.3">
      <c r="A183" s="13">
        <v>45217</v>
      </c>
      <c r="B183" s="13" t="str">
        <f t="shared" si="22"/>
        <v>October</v>
      </c>
      <c r="C183" s="13" t="str">
        <f t="shared" si="23"/>
        <v>2023-10</v>
      </c>
      <c r="D183" s="8">
        <v>92</v>
      </c>
      <c r="E183" s="8">
        <v>124</v>
      </c>
      <c r="F183" s="8">
        <v>93</v>
      </c>
      <c r="G183" s="8">
        <v>10511</v>
      </c>
      <c r="H183" s="8">
        <v>393</v>
      </c>
      <c r="I183" s="14">
        <f t="shared" si="24"/>
        <v>10635</v>
      </c>
      <c r="J183" s="14">
        <f t="shared" si="25"/>
        <v>-300</v>
      </c>
      <c r="K183" s="15">
        <f t="shared" si="26"/>
        <v>-1.4480488951574989E-2</v>
      </c>
      <c r="L183" s="16" t="str">
        <f t="shared" si="27"/>
        <v>Valid</v>
      </c>
      <c r="M183" s="16" t="str">
        <f t="shared" si="28"/>
        <v>Valid</v>
      </c>
      <c r="N183" s="17" t="str">
        <f t="shared" si="29"/>
        <v>Stable/Reducing</v>
      </c>
      <c r="O183" s="16">
        <f t="shared" si="30"/>
        <v>4.225806451612903</v>
      </c>
      <c r="P183" s="14">
        <f t="shared" si="32"/>
        <v>9809.5714285714294</v>
      </c>
      <c r="Q183" s="16">
        <f t="shared" si="31"/>
        <v>2918.4580782596145</v>
      </c>
    </row>
    <row r="184" spans="1:17" x14ac:dyDescent="0.3">
      <c r="A184" s="13">
        <v>45218</v>
      </c>
      <c r="B184" s="13" t="str">
        <f t="shared" si="22"/>
        <v>October</v>
      </c>
      <c r="C184" s="13" t="str">
        <f t="shared" si="23"/>
        <v>2023-10</v>
      </c>
      <c r="D184" s="8">
        <v>113</v>
      </c>
      <c r="E184" s="8">
        <v>162</v>
      </c>
      <c r="F184" s="8">
        <v>107</v>
      </c>
      <c r="G184" s="8">
        <v>10319</v>
      </c>
      <c r="H184" s="8">
        <v>406</v>
      </c>
      <c r="I184" s="14">
        <f t="shared" si="24"/>
        <v>10481</v>
      </c>
      <c r="J184" s="14">
        <f t="shared" si="25"/>
        <v>-299</v>
      </c>
      <c r="K184" s="15">
        <f t="shared" si="26"/>
        <v>-7.432496899150845E-2</v>
      </c>
      <c r="L184" s="16" t="str">
        <f t="shared" si="27"/>
        <v>Valid</v>
      </c>
      <c r="M184" s="16" t="str">
        <f t="shared" si="28"/>
        <v>Valid</v>
      </c>
      <c r="N184" s="17" t="str">
        <f t="shared" si="29"/>
        <v>Stable/Reducing</v>
      </c>
      <c r="O184" s="16">
        <f t="shared" si="30"/>
        <v>3.7943925233644862</v>
      </c>
      <c r="P184" s="14">
        <f t="shared" si="32"/>
        <v>9576</v>
      </c>
      <c r="Q184" s="16">
        <f t="shared" si="31"/>
        <v>2918.4580782596145</v>
      </c>
    </row>
    <row r="185" spans="1:17" x14ac:dyDescent="0.3">
      <c r="A185" s="13">
        <v>45221</v>
      </c>
      <c r="B185" s="13" t="str">
        <f t="shared" si="22"/>
        <v>October</v>
      </c>
      <c r="C185" s="13" t="str">
        <f t="shared" si="23"/>
        <v>2023-10</v>
      </c>
      <c r="D185" s="8">
        <v>106</v>
      </c>
      <c r="E185" s="8">
        <v>196</v>
      </c>
      <c r="F185" s="8">
        <v>131</v>
      </c>
      <c r="G185" s="8">
        <v>9506</v>
      </c>
      <c r="H185" s="8">
        <v>454</v>
      </c>
      <c r="I185" s="14">
        <f t="shared" si="24"/>
        <v>9702</v>
      </c>
      <c r="J185" s="14">
        <f t="shared" si="25"/>
        <v>-323</v>
      </c>
      <c r="K185" s="15">
        <f t="shared" si="26"/>
        <v>-1.1750154607297465E-2</v>
      </c>
      <c r="L185" s="16" t="str">
        <f t="shared" si="27"/>
        <v>Valid</v>
      </c>
      <c r="M185" s="16" t="str">
        <f t="shared" si="28"/>
        <v>Valid</v>
      </c>
      <c r="N185" s="17" t="str">
        <f t="shared" si="29"/>
        <v>Stable/Reducing</v>
      </c>
      <c r="O185" s="16">
        <f t="shared" si="30"/>
        <v>3.4656488549618323</v>
      </c>
      <c r="P185" s="14">
        <f t="shared" si="32"/>
        <v>9375.4285714285706</v>
      </c>
      <c r="Q185" s="16">
        <f t="shared" si="31"/>
        <v>2918.4580782596145</v>
      </c>
    </row>
    <row r="186" spans="1:17" x14ac:dyDescent="0.3">
      <c r="A186" s="13">
        <v>45222</v>
      </c>
      <c r="B186" s="13" t="str">
        <f t="shared" si="22"/>
        <v>October</v>
      </c>
      <c r="C186" s="13" t="str">
        <f t="shared" si="23"/>
        <v>2023-10</v>
      </c>
      <c r="D186" s="8">
        <v>86</v>
      </c>
      <c r="E186" s="8">
        <v>152</v>
      </c>
      <c r="F186" s="8">
        <v>168</v>
      </c>
      <c r="G186" s="8">
        <v>9436</v>
      </c>
      <c r="H186" s="8">
        <v>327</v>
      </c>
      <c r="I186" s="14">
        <f t="shared" si="24"/>
        <v>9588</v>
      </c>
      <c r="J186" s="14">
        <f t="shared" si="25"/>
        <v>-159</v>
      </c>
      <c r="K186" s="15">
        <f t="shared" si="26"/>
        <v>-7.7179808093450148E-3</v>
      </c>
      <c r="L186" s="16" t="str">
        <f t="shared" si="27"/>
        <v>Invalid</v>
      </c>
      <c r="M186" s="16" t="str">
        <f t="shared" si="28"/>
        <v>Valid</v>
      </c>
      <c r="N186" s="17" t="str">
        <f t="shared" si="29"/>
        <v>Stable/Reducing</v>
      </c>
      <c r="O186" s="16">
        <f t="shared" si="30"/>
        <v>1.9464285714285714</v>
      </c>
      <c r="P186" s="14">
        <f t="shared" si="32"/>
        <v>9293</v>
      </c>
      <c r="Q186" s="16">
        <f t="shared" si="31"/>
        <v>2918.4580782596145</v>
      </c>
    </row>
    <row r="187" spans="1:17" x14ac:dyDescent="0.3">
      <c r="A187" s="13">
        <v>45223</v>
      </c>
      <c r="B187" s="13" t="str">
        <f t="shared" si="22"/>
        <v>October</v>
      </c>
      <c r="C187" s="13" t="str">
        <f t="shared" si="23"/>
        <v>2023-10</v>
      </c>
      <c r="D187" s="8">
        <v>84</v>
      </c>
      <c r="E187" s="8">
        <v>118</v>
      </c>
      <c r="F187" s="8">
        <v>136</v>
      </c>
      <c r="G187" s="8">
        <v>9396</v>
      </c>
      <c r="H187" s="8">
        <v>300</v>
      </c>
      <c r="I187" s="14">
        <f t="shared" si="24"/>
        <v>9514</v>
      </c>
      <c r="J187" s="14">
        <f t="shared" si="25"/>
        <v>-164</v>
      </c>
      <c r="K187" s="15">
        <f t="shared" si="26"/>
        <v>-1.0405717889426109E-2</v>
      </c>
      <c r="L187" s="16" t="str">
        <f t="shared" si="27"/>
        <v>Invalid</v>
      </c>
      <c r="M187" s="16" t="str">
        <f t="shared" si="28"/>
        <v>Valid</v>
      </c>
      <c r="N187" s="17" t="str">
        <f t="shared" si="29"/>
        <v>Stable/Reducing</v>
      </c>
      <c r="O187" s="16">
        <f t="shared" si="30"/>
        <v>2.2058823529411766</v>
      </c>
      <c r="P187" s="14">
        <f t="shared" si="32"/>
        <v>9278.2857142857138</v>
      </c>
      <c r="Q187" s="16">
        <f t="shared" si="31"/>
        <v>2918.4580782596145</v>
      </c>
    </row>
    <row r="188" spans="1:17" x14ac:dyDescent="0.3">
      <c r="A188" s="13">
        <v>45224</v>
      </c>
      <c r="B188" s="13" t="str">
        <f t="shared" si="22"/>
        <v>October</v>
      </c>
      <c r="C188" s="13" t="str">
        <f t="shared" si="23"/>
        <v>2023-10</v>
      </c>
      <c r="D188" s="8">
        <v>59</v>
      </c>
      <c r="E188" s="8">
        <v>64</v>
      </c>
      <c r="F188" s="8">
        <v>117</v>
      </c>
      <c r="G188" s="8">
        <v>9351</v>
      </c>
      <c r="H188" s="8">
        <v>293</v>
      </c>
      <c r="I188" s="14">
        <f t="shared" si="24"/>
        <v>9415</v>
      </c>
      <c r="J188" s="14">
        <f t="shared" si="25"/>
        <v>-176</v>
      </c>
      <c r="K188" s="15">
        <f t="shared" si="26"/>
        <v>-8.8157195963887418E-3</v>
      </c>
      <c r="L188" s="16" t="str">
        <f t="shared" si="27"/>
        <v>Invalid</v>
      </c>
      <c r="M188" s="16" t="str">
        <f t="shared" si="28"/>
        <v>Valid</v>
      </c>
      <c r="N188" s="17" t="str">
        <f t="shared" si="29"/>
        <v>Stable/Reducing</v>
      </c>
      <c r="O188" s="16">
        <f t="shared" si="30"/>
        <v>2.5042735042735043</v>
      </c>
      <c r="P188" s="14">
        <f t="shared" si="32"/>
        <v>9297.7142857142862</v>
      </c>
      <c r="Q188" s="16">
        <f t="shared" si="31"/>
        <v>2918.4580782596145</v>
      </c>
    </row>
    <row r="189" spans="1:17" x14ac:dyDescent="0.3">
      <c r="A189" s="13">
        <v>45225</v>
      </c>
      <c r="B189" s="13" t="str">
        <f t="shared" si="22"/>
        <v>October</v>
      </c>
      <c r="C189" s="13" t="str">
        <f t="shared" si="23"/>
        <v>2023-10</v>
      </c>
      <c r="D189" s="8">
        <v>62</v>
      </c>
      <c r="E189" s="8">
        <v>97</v>
      </c>
      <c r="F189" s="8">
        <v>52</v>
      </c>
      <c r="G189" s="8">
        <v>9235</v>
      </c>
      <c r="H189" s="8">
        <v>390</v>
      </c>
      <c r="I189" s="14">
        <f t="shared" si="24"/>
        <v>9332</v>
      </c>
      <c r="J189" s="14">
        <f t="shared" si="25"/>
        <v>-338</v>
      </c>
      <c r="K189" s="15">
        <f t="shared" si="26"/>
        <v>-3.5576510930132879E-2</v>
      </c>
      <c r="L189" s="16" t="str">
        <f t="shared" si="27"/>
        <v>Valid</v>
      </c>
      <c r="M189" s="16" t="str">
        <f t="shared" si="28"/>
        <v>Valid</v>
      </c>
      <c r="N189" s="17" t="str">
        <f t="shared" si="29"/>
        <v>Stable/Reducing</v>
      </c>
      <c r="O189" s="16">
        <f t="shared" si="30"/>
        <v>7.5</v>
      </c>
      <c r="P189" s="14">
        <f t="shared" si="32"/>
        <v>9310.2857142857138</v>
      </c>
      <c r="Q189" s="16">
        <f t="shared" si="31"/>
        <v>2918.4580782596145</v>
      </c>
    </row>
    <row r="190" spans="1:17" x14ac:dyDescent="0.3">
      <c r="A190" s="13">
        <v>45228</v>
      </c>
      <c r="B190" s="13" t="str">
        <f t="shared" si="22"/>
        <v>October</v>
      </c>
      <c r="C190" s="13" t="str">
        <f t="shared" si="23"/>
        <v>2023-10</v>
      </c>
      <c r="D190" s="8">
        <v>91</v>
      </c>
      <c r="E190" s="8">
        <v>75</v>
      </c>
      <c r="F190" s="8">
        <v>97</v>
      </c>
      <c r="G190" s="8">
        <v>8925</v>
      </c>
      <c r="H190" s="8">
        <v>418</v>
      </c>
      <c r="I190" s="14">
        <f t="shared" si="24"/>
        <v>9000</v>
      </c>
      <c r="J190" s="14">
        <f t="shared" si="25"/>
        <v>-321</v>
      </c>
      <c r="K190" s="15">
        <f t="shared" si="26"/>
        <v>8.5555555555555558E-3</v>
      </c>
      <c r="L190" s="16" t="str">
        <f t="shared" si="27"/>
        <v>Invalid</v>
      </c>
      <c r="M190" s="16" t="str">
        <f t="shared" si="28"/>
        <v>Valid</v>
      </c>
      <c r="N190" s="17" t="str">
        <f t="shared" si="29"/>
        <v>Stable/Reducing</v>
      </c>
      <c r="O190" s="16">
        <f t="shared" si="30"/>
        <v>4.3092783505154637</v>
      </c>
      <c r="P190" s="14">
        <f t="shared" si="32"/>
        <v>9337</v>
      </c>
      <c r="Q190" s="16">
        <f t="shared" si="31"/>
        <v>2918.4580782596145</v>
      </c>
    </row>
    <row r="191" spans="1:17" x14ac:dyDescent="0.3">
      <c r="A191" s="13">
        <v>45229</v>
      </c>
      <c r="B191" s="13" t="str">
        <f t="shared" si="22"/>
        <v>October</v>
      </c>
      <c r="C191" s="13" t="str">
        <f t="shared" si="23"/>
        <v>2023-10</v>
      </c>
      <c r="D191" s="8">
        <v>29</v>
      </c>
      <c r="E191" s="8">
        <v>51</v>
      </c>
      <c r="F191" s="8">
        <v>11</v>
      </c>
      <c r="G191" s="8">
        <v>9026</v>
      </c>
      <c r="H191" s="8">
        <v>278</v>
      </c>
      <c r="I191" s="14">
        <f t="shared" si="24"/>
        <v>9077</v>
      </c>
      <c r="J191" s="14">
        <f t="shared" si="25"/>
        <v>-267</v>
      </c>
      <c r="K191" s="15">
        <f t="shared" si="26"/>
        <v>5.2880907788917042E-3</v>
      </c>
      <c r="L191" s="16" t="str">
        <f t="shared" si="27"/>
        <v>Valid</v>
      </c>
      <c r="M191" s="16" t="str">
        <f t="shared" si="28"/>
        <v>Valid</v>
      </c>
      <c r="N191" s="17" t="str">
        <f t="shared" si="29"/>
        <v>Stable/Reducing</v>
      </c>
      <c r="O191" s="16">
        <f t="shared" si="30"/>
        <v>25.272727272727273</v>
      </c>
      <c r="P191" s="14">
        <f t="shared" si="32"/>
        <v>9439.1428571428569</v>
      </c>
      <c r="Q191" s="16">
        <f t="shared" si="31"/>
        <v>2918.4580782596145</v>
      </c>
    </row>
    <row r="192" spans="1:17" x14ac:dyDescent="0.3">
      <c r="A192" s="13">
        <v>45230</v>
      </c>
      <c r="B192" s="13" t="str">
        <f t="shared" si="22"/>
        <v>October</v>
      </c>
      <c r="C192" s="13" t="str">
        <f t="shared" si="23"/>
        <v>2023-10</v>
      </c>
      <c r="D192" s="8">
        <v>33</v>
      </c>
      <c r="E192" s="8">
        <v>53</v>
      </c>
      <c r="F192" s="8">
        <v>34</v>
      </c>
      <c r="G192" s="8">
        <v>9072</v>
      </c>
      <c r="H192" s="8">
        <v>295</v>
      </c>
      <c r="I192" s="14">
        <f t="shared" si="24"/>
        <v>9125</v>
      </c>
      <c r="J192" s="14">
        <f t="shared" si="25"/>
        <v>-261</v>
      </c>
      <c r="K192" s="15">
        <f t="shared" si="26"/>
        <v>3.9452054794520547E-2</v>
      </c>
      <c r="L192" s="16" t="str">
        <f t="shared" si="27"/>
        <v>Valid</v>
      </c>
      <c r="M192" s="16" t="str">
        <f t="shared" si="28"/>
        <v>Valid</v>
      </c>
      <c r="N192" s="17" t="str">
        <f t="shared" si="29"/>
        <v>Stable/Reducing</v>
      </c>
      <c r="O192" s="16">
        <f t="shared" si="30"/>
        <v>8.6764705882352935</v>
      </c>
      <c r="P192" s="14">
        <f t="shared" si="32"/>
        <v>9551</v>
      </c>
      <c r="Q192" s="16">
        <f t="shared" si="31"/>
        <v>2918.4580782596145</v>
      </c>
    </row>
    <row r="193" spans="1:17" x14ac:dyDescent="0.3">
      <c r="A193" s="13">
        <v>45231</v>
      </c>
      <c r="B193" s="13" t="str">
        <f t="shared" si="22"/>
        <v>November</v>
      </c>
      <c r="C193" s="13" t="str">
        <f t="shared" si="23"/>
        <v>2023-11</v>
      </c>
      <c r="D193" s="8">
        <v>132</v>
      </c>
      <c r="E193" s="8">
        <v>235</v>
      </c>
      <c r="F193" s="8">
        <v>197</v>
      </c>
      <c r="G193" s="8">
        <v>9250</v>
      </c>
      <c r="H193" s="8">
        <v>279</v>
      </c>
      <c r="I193" s="14">
        <f t="shared" si="24"/>
        <v>9485</v>
      </c>
      <c r="J193" s="14">
        <f t="shared" si="25"/>
        <v>-82</v>
      </c>
      <c r="K193" s="15">
        <f t="shared" si="26"/>
        <v>1.739588824459673E-2</v>
      </c>
      <c r="L193" s="16" t="str">
        <f t="shared" si="27"/>
        <v>Valid</v>
      </c>
      <c r="M193" s="16" t="str">
        <f t="shared" si="28"/>
        <v>Valid</v>
      </c>
      <c r="N193" s="17" t="str">
        <f t="shared" si="29"/>
        <v>Stable/Reducing</v>
      </c>
      <c r="O193" s="16">
        <f t="shared" si="30"/>
        <v>1.4162436548223349</v>
      </c>
      <c r="P193" s="14">
        <f t="shared" si="32"/>
        <v>9624.1428571428569</v>
      </c>
      <c r="Q193" s="16">
        <f t="shared" si="31"/>
        <v>2918.4580782596145</v>
      </c>
    </row>
    <row r="194" spans="1:17" x14ac:dyDescent="0.3">
      <c r="A194" s="13">
        <v>45232</v>
      </c>
      <c r="B194" s="13" t="str">
        <f t="shared" ref="B194:B257" si="33">TEXT(A194, "mmmm")</f>
        <v>November</v>
      </c>
      <c r="C194" s="13" t="str">
        <f t="shared" ref="C194:C257" si="34">TEXT(A194, "yyyy-mm")</f>
        <v>2023-11</v>
      </c>
      <c r="D194" s="8">
        <v>174</v>
      </c>
      <c r="E194" s="8">
        <v>208</v>
      </c>
      <c r="F194" s="8">
        <v>256</v>
      </c>
      <c r="G194" s="8">
        <v>9442</v>
      </c>
      <c r="H194" s="8">
        <v>330</v>
      </c>
      <c r="I194" s="14">
        <f t="shared" ref="I194:I257" si="35">SUM(G194+E194)</f>
        <v>9650</v>
      </c>
      <c r="J194" s="14">
        <f t="shared" ref="J194:J257" si="36">F194-H194</f>
        <v>-74</v>
      </c>
      <c r="K194" s="15">
        <f t="shared" ref="K194:K257" si="37">(I195-I194)/I194</f>
        <v>-1.5233160621761659E-2</v>
      </c>
      <c r="L194" s="16" t="str">
        <f t="shared" ref="L194:L257" si="38">IF(F194&lt;=E194, "Valid", "Invalid")</f>
        <v>Invalid</v>
      </c>
      <c r="M194" s="16" t="str">
        <f t="shared" ref="M194:M257" si="39">IF(H194&lt;=G194, "Valid", "Invalid")</f>
        <v>Valid</v>
      </c>
      <c r="N194" s="17" t="str">
        <f t="shared" ref="N194:N257" si="40">IF(J194&gt;0, "Increasing Pressure", "Stable/Reducing")</f>
        <v>Stable/Reducing</v>
      </c>
      <c r="O194" s="16">
        <f t="shared" ref="O194:O257" si="41">IFERROR(H194/F194, 0)</f>
        <v>1.2890625</v>
      </c>
      <c r="P194" s="14">
        <f t="shared" si="32"/>
        <v>9652.4285714285706</v>
      </c>
      <c r="Q194" s="16">
        <f t="shared" ref="Q194:Q257" si="42">_xlfn.STDEV.S(I:I)</f>
        <v>2918.4580782596145</v>
      </c>
    </row>
    <row r="195" spans="1:17" x14ac:dyDescent="0.3">
      <c r="A195" s="13">
        <v>45235</v>
      </c>
      <c r="B195" s="13" t="str">
        <f t="shared" si="33"/>
        <v>November</v>
      </c>
      <c r="C195" s="13" t="str">
        <f t="shared" si="34"/>
        <v>2023-11</v>
      </c>
      <c r="D195" s="8">
        <v>123</v>
      </c>
      <c r="E195" s="8">
        <v>230</v>
      </c>
      <c r="F195" s="8">
        <v>167</v>
      </c>
      <c r="G195" s="8">
        <v>9273</v>
      </c>
      <c r="H195" s="8">
        <v>370</v>
      </c>
      <c r="I195" s="14">
        <f t="shared" si="35"/>
        <v>9503</v>
      </c>
      <c r="J195" s="14">
        <f t="shared" si="36"/>
        <v>-203</v>
      </c>
      <c r="K195" s="15">
        <f t="shared" si="37"/>
        <v>1.6836788382616015E-3</v>
      </c>
      <c r="L195" s="16" t="str">
        <f t="shared" si="38"/>
        <v>Valid</v>
      </c>
      <c r="M195" s="16" t="str">
        <f t="shared" si="39"/>
        <v>Valid</v>
      </c>
      <c r="N195" s="17" t="str">
        <f t="shared" si="40"/>
        <v>Stable/Reducing</v>
      </c>
      <c r="O195" s="16">
        <f t="shared" si="41"/>
        <v>2.215568862275449</v>
      </c>
      <c r="P195" s="14">
        <f t="shared" ref="P195:P258" si="43">AVERAGE(I195:I201)</f>
        <v>9680.4285714285706</v>
      </c>
      <c r="Q195" s="16">
        <f t="shared" si="42"/>
        <v>2918.4580782596145</v>
      </c>
    </row>
    <row r="196" spans="1:17" x14ac:dyDescent="0.3">
      <c r="A196" s="13">
        <v>45236</v>
      </c>
      <c r="B196" s="13" t="str">
        <f t="shared" si="33"/>
        <v>November</v>
      </c>
      <c r="C196" s="13" t="str">
        <f t="shared" si="34"/>
        <v>2023-11</v>
      </c>
      <c r="D196" s="8">
        <v>123</v>
      </c>
      <c r="E196" s="8">
        <v>233</v>
      </c>
      <c r="F196" s="8">
        <v>159</v>
      </c>
      <c r="G196" s="8">
        <v>9286</v>
      </c>
      <c r="H196" s="8">
        <v>316</v>
      </c>
      <c r="I196" s="14">
        <f t="shared" si="35"/>
        <v>9519</v>
      </c>
      <c r="J196" s="14">
        <f t="shared" si="36"/>
        <v>-157</v>
      </c>
      <c r="K196" s="15">
        <f t="shared" si="37"/>
        <v>2.0590398151066287E-2</v>
      </c>
      <c r="L196" s="16" t="str">
        <f t="shared" si="38"/>
        <v>Valid</v>
      </c>
      <c r="M196" s="16" t="str">
        <f t="shared" si="39"/>
        <v>Valid</v>
      </c>
      <c r="N196" s="17" t="str">
        <f t="shared" si="40"/>
        <v>Stable/Reducing</v>
      </c>
      <c r="O196" s="16">
        <f t="shared" si="41"/>
        <v>1.9874213836477987</v>
      </c>
      <c r="P196" s="14">
        <f t="shared" si="43"/>
        <v>9739.8571428571431</v>
      </c>
      <c r="Q196" s="16">
        <f t="shared" si="42"/>
        <v>2918.4580782596145</v>
      </c>
    </row>
    <row r="197" spans="1:17" x14ac:dyDescent="0.3">
      <c r="A197" s="13">
        <v>45237</v>
      </c>
      <c r="B197" s="13" t="str">
        <f t="shared" si="33"/>
        <v>November</v>
      </c>
      <c r="C197" s="13" t="str">
        <f t="shared" si="34"/>
        <v>2023-11</v>
      </c>
      <c r="D197" s="8">
        <v>141</v>
      </c>
      <c r="E197" s="8">
        <v>232</v>
      </c>
      <c r="F197" s="8">
        <v>188</v>
      </c>
      <c r="G197" s="8">
        <v>9483</v>
      </c>
      <c r="H197" s="8">
        <v>231</v>
      </c>
      <c r="I197" s="14">
        <f t="shared" si="35"/>
        <v>9715</v>
      </c>
      <c r="J197" s="14">
        <f t="shared" si="36"/>
        <v>-43</v>
      </c>
      <c r="K197" s="15">
        <f t="shared" si="37"/>
        <v>1.4925373134328358E-2</v>
      </c>
      <c r="L197" s="16" t="str">
        <f t="shared" si="38"/>
        <v>Valid</v>
      </c>
      <c r="M197" s="16" t="str">
        <f t="shared" si="39"/>
        <v>Valid</v>
      </c>
      <c r="N197" s="17" t="str">
        <f t="shared" si="40"/>
        <v>Stable/Reducing</v>
      </c>
      <c r="O197" s="16">
        <f t="shared" si="41"/>
        <v>1.2287234042553192</v>
      </c>
      <c r="P197" s="14">
        <f t="shared" si="43"/>
        <v>9799.7142857142862</v>
      </c>
      <c r="Q197" s="16">
        <f t="shared" si="42"/>
        <v>2918.4580782596145</v>
      </c>
    </row>
    <row r="198" spans="1:17" x14ac:dyDescent="0.3">
      <c r="A198" s="13">
        <v>45238</v>
      </c>
      <c r="B198" s="13" t="str">
        <f t="shared" si="33"/>
        <v>November</v>
      </c>
      <c r="C198" s="13" t="str">
        <f t="shared" si="34"/>
        <v>2023-11</v>
      </c>
      <c r="D198" s="8">
        <v>158</v>
      </c>
      <c r="E198" s="8">
        <v>226</v>
      </c>
      <c r="F198" s="8">
        <v>191</v>
      </c>
      <c r="G198" s="8">
        <v>9634</v>
      </c>
      <c r="H198" s="8">
        <v>310</v>
      </c>
      <c r="I198" s="14">
        <f t="shared" si="35"/>
        <v>9860</v>
      </c>
      <c r="J198" s="14">
        <f t="shared" si="36"/>
        <v>-119</v>
      </c>
      <c r="K198" s="15">
        <f t="shared" si="37"/>
        <v>-2.2616632860040568E-2</v>
      </c>
      <c r="L198" s="16" t="str">
        <f t="shared" si="38"/>
        <v>Valid</v>
      </c>
      <c r="M198" s="16" t="str">
        <f t="shared" si="39"/>
        <v>Valid</v>
      </c>
      <c r="N198" s="17" t="str">
        <f t="shared" si="40"/>
        <v>Stable/Reducing</v>
      </c>
      <c r="O198" s="16">
        <f t="shared" si="41"/>
        <v>1.6230366492146597</v>
      </c>
      <c r="P198" s="14">
        <f t="shared" si="43"/>
        <v>9806.2857142857138</v>
      </c>
      <c r="Q198" s="16">
        <f t="shared" si="42"/>
        <v>2918.4580782596145</v>
      </c>
    </row>
    <row r="199" spans="1:17" x14ac:dyDescent="0.3">
      <c r="A199" s="13">
        <v>45242</v>
      </c>
      <c r="B199" s="13" t="str">
        <f t="shared" si="33"/>
        <v>November</v>
      </c>
      <c r="C199" s="13" t="str">
        <f t="shared" si="34"/>
        <v>2023-11</v>
      </c>
      <c r="D199" s="8">
        <v>96</v>
      </c>
      <c r="E199" s="8">
        <v>160</v>
      </c>
      <c r="F199" s="8">
        <v>233</v>
      </c>
      <c r="G199" s="8">
        <v>9477</v>
      </c>
      <c r="H199" s="8">
        <v>313</v>
      </c>
      <c r="I199" s="14">
        <f t="shared" si="35"/>
        <v>9637</v>
      </c>
      <c r="J199" s="14">
        <f t="shared" si="36"/>
        <v>-80</v>
      </c>
      <c r="K199" s="15">
        <f t="shared" si="37"/>
        <v>4.7732696897374704E-3</v>
      </c>
      <c r="L199" s="16" t="str">
        <f t="shared" si="38"/>
        <v>Invalid</v>
      </c>
      <c r="M199" s="16" t="str">
        <f t="shared" si="39"/>
        <v>Valid</v>
      </c>
      <c r="N199" s="17" t="str">
        <f t="shared" si="40"/>
        <v>Stable/Reducing</v>
      </c>
      <c r="O199" s="16">
        <f t="shared" si="41"/>
        <v>1.3433476394849786</v>
      </c>
      <c r="P199" s="14">
        <f t="shared" si="43"/>
        <v>9801</v>
      </c>
      <c r="Q199" s="16">
        <f t="shared" si="42"/>
        <v>2918.4580782596145</v>
      </c>
    </row>
    <row r="200" spans="1:17" x14ac:dyDescent="0.3">
      <c r="A200" s="13">
        <v>45243</v>
      </c>
      <c r="B200" s="13" t="str">
        <f t="shared" si="33"/>
        <v>November</v>
      </c>
      <c r="C200" s="13" t="str">
        <f t="shared" si="34"/>
        <v>2023-11</v>
      </c>
      <c r="D200" s="8">
        <v>141</v>
      </c>
      <c r="E200" s="8">
        <v>173</v>
      </c>
      <c r="F200" s="8">
        <v>129</v>
      </c>
      <c r="G200" s="8">
        <v>9510</v>
      </c>
      <c r="H200" s="8">
        <v>287</v>
      </c>
      <c r="I200" s="14">
        <f t="shared" si="35"/>
        <v>9683</v>
      </c>
      <c r="J200" s="14">
        <f t="shared" si="36"/>
        <v>-158</v>
      </c>
      <c r="K200" s="15">
        <f t="shared" si="37"/>
        <v>1.6833625942373233E-2</v>
      </c>
      <c r="L200" s="16" t="str">
        <f t="shared" si="38"/>
        <v>Valid</v>
      </c>
      <c r="M200" s="16" t="str">
        <f t="shared" si="39"/>
        <v>Valid</v>
      </c>
      <c r="N200" s="17" t="str">
        <f t="shared" si="40"/>
        <v>Stable/Reducing</v>
      </c>
      <c r="O200" s="16">
        <f t="shared" si="41"/>
        <v>2.2248062015503876</v>
      </c>
      <c r="P200" s="14">
        <f t="shared" si="43"/>
        <v>9860</v>
      </c>
      <c r="Q200" s="16">
        <f t="shared" si="42"/>
        <v>2918.4580782596145</v>
      </c>
    </row>
    <row r="201" spans="1:17" x14ac:dyDescent="0.3">
      <c r="A201" s="13">
        <v>45244</v>
      </c>
      <c r="B201" s="13" t="str">
        <f t="shared" si="33"/>
        <v>November</v>
      </c>
      <c r="C201" s="13" t="str">
        <f t="shared" si="34"/>
        <v>2023-11</v>
      </c>
      <c r="D201" s="8">
        <v>116</v>
      </c>
      <c r="E201" s="8">
        <v>181</v>
      </c>
      <c r="F201" s="8">
        <v>182</v>
      </c>
      <c r="G201" s="8">
        <v>9665</v>
      </c>
      <c r="H201" s="8">
        <v>247</v>
      </c>
      <c r="I201" s="14">
        <f t="shared" si="35"/>
        <v>9846</v>
      </c>
      <c r="J201" s="14">
        <f t="shared" si="36"/>
        <v>-65</v>
      </c>
      <c r="K201" s="15">
        <f t="shared" si="37"/>
        <v>7.4141783465366644E-3</v>
      </c>
      <c r="L201" s="16" t="str">
        <f t="shared" si="38"/>
        <v>Invalid</v>
      </c>
      <c r="M201" s="16" t="str">
        <f t="shared" si="39"/>
        <v>Valid</v>
      </c>
      <c r="N201" s="17" t="str">
        <f t="shared" si="40"/>
        <v>Stable/Reducing</v>
      </c>
      <c r="O201" s="16">
        <f t="shared" si="41"/>
        <v>1.3571428571428572</v>
      </c>
      <c r="P201" s="14">
        <f t="shared" si="43"/>
        <v>9914.7142857142862</v>
      </c>
      <c r="Q201" s="16">
        <f t="shared" si="42"/>
        <v>2918.4580782596145</v>
      </c>
    </row>
    <row r="202" spans="1:17" x14ac:dyDescent="0.3">
      <c r="A202" s="13">
        <v>45245</v>
      </c>
      <c r="B202" s="13" t="str">
        <f t="shared" si="33"/>
        <v>November</v>
      </c>
      <c r="C202" s="13" t="str">
        <f t="shared" si="34"/>
        <v>2023-11</v>
      </c>
      <c r="D202" s="8">
        <v>150</v>
      </c>
      <c r="E202" s="8">
        <v>157</v>
      </c>
      <c r="F202" s="8">
        <v>201</v>
      </c>
      <c r="G202" s="8">
        <v>9762</v>
      </c>
      <c r="H202" s="8">
        <v>316</v>
      </c>
      <c r="I202" s="14">
        <f t="shared" si="35"/>
        <v>9919</v>
      </c>
      <c r="J202" s="14">
        <f t="shared" si="36"/>
        <v>-115</v>
      </c>
      <c r="K202" s="15">
        <f t="shared" si="37"/>
        <v>1.9155156769835669E-3</v>
      </c>
      <c r="L202" s="16" t="str">
        <f t="shared" si="38"/>
        <v>Invalid</v>
      </c>
      <c r="M202" s="16" t="str">
        <f t="shared" si="39"/>
        <v>Valid</v>
      </c>
      <c r="N202" s="17" t="str">
        <f t="shared" si="40"/>
        <v>Stable/Reducing</v>
      </c>
      <c r="O202" s="16">
        <f t="shared" si="41"/>
        <v>1.572139303482587</v>
      </c>
      <c r="P202" s="14">
        <f t="shared" si="43"/>
        <v>9942.5714285714294</v>
      </c>
      <c r="Q202" s="16">
        <f t="shared" si="42"/>
        <v>2918.4580782596145</v>
      </c>
    </row>
    <row r="203" spans="1:17" x14ac:dyDescent="0.3">
      <c r="A203" s="13">
        <v>45246</v>
      </c>
      <c r="B203" s="13" t="str">
        <f t="shared" si="33"/>
        <v>November</v>
      </c>
      <c r="C203" s="13" t="str">
        <f t="shared" si="34"/>
        <v>2023-11</v>
      </c>
      <c r="D203" s="8">
        <v>80</v>
      </c>
      <c r="E203" s="8">
        <v>176</v>
      </c>
      <c r="F203" s="8">
        <v>125</v>
      </c>
      <c r="G203" s="8">
        <v>9762</v>
      </c>
      <c r="H203" s="8">
        <v>374</v>
      </c>
      <c r="I203" s="14">
        <f t="shared" si="35"/>
        <v>9938</v>
      </c>
      <c r="J203" s="14">
        <f t="shared" si="36"/>
        <v>-249</v>
      </c>
      <c r="K203" s="15">
        <f t="shared" si="37"/>
        <v>-1.7810424632722883E-2</v>
      </c>
      <c r="L203" s="16" t="str">
        <f t="shared" si="38"/>
        <v>Valid</v>
      </c>
      <c r="M203" s="16" t="str">
        <f t="shared" si="39"/>
        <v>Valid</v>
      </c>
      <c r="N203" s="17" t="str">
        <f t="shared" si="40"/>
        <v>Stable/Reducing</v>
      </c>
      <c r="O203" s="16">
        <f t="shared" si="41"/>
        <v>2.992</v>
      </c>
      <c r="P203" s="14">
        <f t="shared" si="43"/>
        <v>9983.4285714285706</v>
      </c>
      <c r="Q203" s="16">
        <f t="shared" si="42"/>
        <v>2918.4580782596145</v>
      </c>
    </row>
    <row r="204" spans="1:17" x14ac:dyDescent="0.3">
      <c r="A204" s="13">
        <v>45249</v>
      </c>
      <c r="B204" s="13" t="str">
        <f t="shared" si="33"/>
        <v>November</v>
      </c>
      <c r="C204" s="13" t="str">
        <f t="shared" si="34"/>
        <v>2023-11</v>
      </c>
      <c r="D204" s="8">
        <v>116</v>
      </c>
      <c r="E204" s="8">
        <v>188</v>
      </c>
      <c r="F204" s="8">
        <v>164</v>
      </c>
      <c r="G204" s="8">
        <v>9573</v>
      </c>
      <c r="H204" s="8">
        <v>435</v>
      </c>
      <c r="I204" s="14">
        <f t="shared" si="35"/>
        <v>9761</v>
      </c>
      <c r="J204" s="14">
        <f t="shared" si="36"/>
        <v>-271</v>
      </c>
      <c r="K204" s="15">
        <f t="shared" si="37"/>
        <v>6.3518082163712738E-3</v>
      </c>
      <c r="L204" s="16" t="str">
        <f t="shared" si="38"/>
        <v>Valid</v>
      </c>
      <c r="M204" s="16" t="str">
        <f t="shared" si="39"/>
        <v>Valid</v>
      </c>
      <c r="N204" s="17" t="str">
        <f t="shared" si="40"/>
        <v>Stable/Reducing</v>
      </c>
      <c r="O204" s="16">
        <f t="shared" si="41"/>
        <v>2.6524390243902438</v>
      </c>
      <c r="P204" s="14">
        <f t="shared" si="43"/>
        <v>10038.857142857143</v>
      </c>
      <c r="Q204" s="16">
        <f t="shared" si="42"/>
        <v>2918.4580782596145</v>
      </c>
    </row>
    <row r="205" spans="1:17" x14ac:dyDescent="0.3">
      <c r="A205" s="13">
        <v>45250</v>
      </c>
      <c r="B205" s="13" t="str">
        <f t="shared" si="33"/>
        <v>November</v>
      </c>
      <c r="C205" s="13" t="str">
        <f t="shared" si="34"/>
        <v>2023-11</v>
      </c>
      <c r="D205" s="8">
        <v>105</v>
      </c>
      <c r="E205" s="8">
        <v>185</v>
      </c>
      <c r="F205" s="8">
        <v>158</v>
      </c>
      <c r="G205" s="8">
        <v>9638</v>
      </c>
      <c r="H205" s="8">
        <v>298</v>
      </c>
      <c r="I205" s="14">
        <f t="shared" si="35"/>
        <v>9823</v>
      </c>
      <c r="J205" s="14">
        <f t="shared" si="36"/>
        <v>-140</v>
      </c>
      <c r="K205" s="15">
        <f t="shared" si="37"/>
        <v>2.3109029827954802E-2</v>
      </c>
      <c r="L205" s="16" t="str">
        <f t="shared" si="38"/>
        <v>Valid</v>
      </c>
      <c r="M205" s="16" t="str">
        <f t="shared" si="39"/>
        <v>Valid</v>
      </c>
      <c r="N205" s="17" t="str">
        <f t="shared" si="40"/>
        <v>Stable/Reducing</v>
      </c>
      <c r="O205" s="16">
        <f t="shared" si="41"/>
        <v>1.8860759493670887</v>
      </c>
      <c r="P205" s="14">
        <f t="shared" si="43"/>
        <v>10145.142857142857</v>
      </c>
      <c r="Q205" s="16">
        <f t="shared" si="42"/>
        <v>2918.4580782596145</v>
      </c>
    </row>
    <row r="206" spans="1:17" x14ac:dyDescent="0.3">
      <c r="A206" s="13">
        <v>45251</v>
      </c>
      <c r="B206" s="13" t="str">
        <f t="shared" si="33"/>
        <v>November</v>
      </c>
      <c r="C206" s="13" t="str">
        <f t="shared" si="34"/>
        <v>2023-11</v>
      </c>
      <c r="D206" s="8">
        <v>136</v>
      </c>
      <c r="E206" s="8">
        <v>246</v>
      </c>
      <c r="F206" s="8">
        <v>123</v>
      </c>
      <c r="G206" s="8">
        <v>9804</v>
      </c>
      <c r="H206" s="8">
        <v>250</v>
      </c>
      <c r="I206" s="14">
        <f t="shared" si="35"/>
        <v>10050</v>
      </c>
      <c r="J206" s="14">
        <f t="shared" si="36"/>
        <v>-127</v>
      </c>
      <c r="K206" s="15">
        <f t="shared" si="37"/>
        <v>1.5920398009950248E-3</v>
      </c>
      <c r="L206" s="16" t="str">
        <f t="shared" si="38"/>
        <v>Valid</v>
      </c>
      <c r="M206" s="16" t="str">
        <f t="shared" si="39"/>
        <v>Valid</v>
      </c>
      <c r="N206" s="17" t="str">
        <f t="shared" si="40"/>
        <v>Stable/Reducing</v>
      </c>
      <c r="O206" s="16">
        <f t="shared" si="41"/>
        <v>2.0325203252032522</v>
      </c>
      <c r="P206" s="14">
        <f t="shared" si="43"/>
        <v>10264.714285714286</v>
      </c>
      <c r="Q206" s="16">
        <f t="shared" si="42"/>
        <v>2918.4580782596145</v>
      </c>
    </row>
    <row r="207" spans="1:17" x14ac:dyDescent="0.3">
      <c r="A207" s="13">
        <v>45253</v>
      </c>
      <c r="B207" s="13" t="str">
        <f t="shared" si="33"/>
        <v>November</v>
      </c>
      <c r="C207" s="13" t="str">
        <f t="shared" si="34"/>
        <v>2023-11</v>
      </c>
      <c r="D207" s="8">
        <v>128</v>
      </c>
      <c r="E207" s="8">
        <v>228</v>
      </c>
      <c r="F207" s="8">
        <v>177</v>
      </c>
      <c r="G207" s="8">
        <v>9838</v>
      </c>
      <c r="H207" s="8">
        <v>283</v>
      </c>
      <c r="I207" s="14">
        <f t="shared" si="35"/>
        <v>10066</v>
      </c>
      <c r="J207" s="14">
        <f t="shared" si="36"/>
        <v>-106</v>
      </c>
      <c r="K207" s="15">
        <f t="shared" si="37"/>
        <v>-2.4836081859725811E-3</v>
      </c>
      <c r="L207" s="16" t="str">
        <f t="shared" si="38"/>
        <v>Valid</v>
      </c>
      <c r="M207" s="16" t="str">
        <f t="shared" si="39"/>
        <v>Valid</v>
      </c>
      <c r="N207" s="17" t="str">
        <f t="shared" si="40"/>
        <v>Stable/Reducing</v>
      </c>
      <c r="O207" s="16">
        <f t="shared" si="41"/>
        <v>1.5988700564971752</v>
      </c>
      <c r="P207" s="14">
        <f t="shared" si="43"/>
        <v>10373.857142857143</v>
      </c>
      <c r="Q207" s="16">
        <f t="shared" si="42"/>
        <v>2918.4580782596145</v>
      </c>
    </row>
    <row r="208" spans="1:17" x14ac:dyDescent="0.3">
      <c r="A208" s="13">
        <v>45256</v>
      </c>
      <c r="B208" s="13" t="str">
        <f t="shared" si="33"/>
        <v>November</v>
      </c>
      <c r="C208" s="13" t="str">
        <f t="shared" si="34"/>
        <v>2023-11</v>
      </c>
      <c r="D208" s="8">
        <v>90</v>
      </c>
      <c r="E208" s="8">
        <v>196</v>
      </c>
      <c r="F208" s="8">
        <v>205</v>
      </c>
      <c r="G208" s="8">
        <v>9845</v>
      </c>
      <c r="H208" s="8">
        <v>312</v>
      </c>
      <c r="I208" s="14">
        <f t="shared" si="35"/>
        <v>10041</v>
      </c>
      <c r="J208" s="14">
        <f t="shared" si="36"/>
        <v>-107</v>
      </c>
      <c r="K208" s="15">
        <f t="shared" si="37"/>
        <v>1.6333034558310925E-2</v>
      </c>
      <c r="L208" s="16" t="str">
        <f t="shared" si="38"/>
        <v>Invalid</v>
      </c>
      <c r="M208" s="16" t="str">
        <f t="shared" si="39"/>
        <v>Valid</v>
      </c>
      <c r="N208" s="17" t="str">
        <f t="shared" si="40"/>
        <v>Stable/Reducing</v>
      </c>
      <c r="O208" s="16">
        <f t="shared" si="41"/>
        <v>1.5219512195121951</v>
      </c>
      <c r="P208" s="14">
        <f t="shared" si="43"/>
        <v>10484.857142857143</v>
      </c>
      <c r="Q208" s="16">
        <f t="shared" si="42"/>
        <v>2918.4580782596145</v>
      </c>
    </row>
    <row r="209" spans="1:17" x14ac:dyDescent="0.3">
      <c r="A209" s="13">
        <v>45257</v>
      </c>
      <c r="B209" s="13" t="str">
        <f t="shared" si="33"/>
        <v>November</v>
      </c>
      <c r="C209" s="13" t="str">
        <f t="shared" si="34"/>
        <v>2023-11</v>
      </c>
      <c r="D209" s="8">
        <v>56</v>
      </c>
      <c r="E209" s="8">
        <v>82</v>
      </c>
      <c r="F209" s="8">
        <v>68</v>
      </c>
      <c r="G209" s="8">
        <v>10123</v>
      </c>
      <c r="H209" s="8">
        <v>214</v>
      </c>
      <c r="I209" s="14">
        <f t="shared" si="35"/>
        <v>10205</v>
      </c>
      <c r="J209" s="14">
        <f t="shared" si="36"/>
        <v>-146</v>
      </c>
      <c r="K209" s="15">
        <f t="shared" si="37"/>
        <v>1.1856932876041157E-2</v>
      </c>
      <c r="L209" s="16" t="str">
        <f t="shared" si="38"/>
        <v>Valid</v>
      </c>
      <c r="M209" s="16" t="str">
        <f t="shared" si="39"/>
        <v>Valid</v>
      </c>
      <c r="N209" s="17" t="str">
        <f t="shared" si="40"/>
        <v>Stable/Reducing</v>
      </c>
      <c r="O209" s="16">
        <f t="shared" si="41"/>
        <v>3.1470588235294117</v>
      </c>
      <c r="P209" s="14">
        <f t="shared" si="43"/>
        <v>10620.571428571429</v>
      </c>
      <c r="Q209" s="16">
        <f t="shared" si="42"/>
        <v>2918.4580782596145</v>
      </c>
    </row>
    <row r="210" spans="1:17" x14ac:dyDescent="0.3">
      <c r="A210" s="13">
        <v>45258</v>
      </c>
      <c r="B210" s="13" t="str">
        <f t="shared" si="33"/>
        <v>November</v>
      </c>
      <c r="C210" s="13" t="str">
        <f t="shared" si="34"/>
        <v>2023-11</v>
      </c>
      <c r="D210" s="8">
        <v>74</v>
      </c>
      <c r="E210" s="8">
        <v>103</v>
      </c>
      <c r="F210" s="8">
        <v>80</v>
      </c>
      <c r="G210" s="8">
        <v>10223</v>
      </c>
      <c r="H210" s="8">
        <v>223</v>
      </c>
      <c r="I210" s="14">
        <f t="shared" si="35"/>
        <v>10326</v>
      </c>
      <c r="J210" s="14">
        <f t="shared" si="36"/>
        <v>-143</v>
      </c>
      <c r="K210" s="15">
        <f t="shared" si="37"/>
        <v>1.7334882820065855E-2</v>
      </c>
      <c r="L210" s="16" t="str">
        <f t="shared" si="38"/>
        <v>Valid</v>
      </c>
      <c r="M210" s="16" t="str">
        <f t="shared" si="39"/>
        <v>Valid</v>
      </c>
      <c r="N210" s="17" t="str">
        <f t="shared" si="40"/>
        <v>Stable/Reducing</v>
      </c>
      <c r="O210" s="16">
        <f t="shared" si="41"/>
        <v>2.7875000000000001</v>
      </c>
      <c r="P210" s="14">
        <f t="shared" si="43"/>
        <v>10743.428571428571</v>
      </c>
      <c r="Q210" s="16">
        <f t="shared" si="42"/>
        <v>2918.4580782596145</v>
      </c>
    </row>
    <row r="211" spans="1:17" x14ac:dyDescent="0.3">
      <c r="A211" s="13">
        <v>45259</v>
      </c>
      <c r="B211" s="13" t="str">
        <f t="shared" si="33"/>
        <v>November</v>
      </c>
      <c r="C211" s="13" t="str">
        <f t="shared" si="34"/>
        <v>2023-11</v>
      </c>
      <c r="D211" s="8">
        <v>68</v>
      </c>
      <c r="E211" s="8">
        <v>107</v>
      </c>
      <c r="F211" s="8">
        <v>102</v>
      </c>
      <c r="G211" s="8">
        <v>10398</v>
      </c>
      <c r="H211" s="8">
        <v>284</v>
      </c>
      <c r="I211" s="14">
        <f t="shared" si="35"/>
        <v>10505</v>
      </c>
      <c r="J211" s="14">
        <f t="shared" si="36"/>
        <v>-182</v>
      </c>
      <c r="K211" s="15">
        <f t="shared" si="37"/>
        <v>1.4754878629224179E-2</v>
      </c>
      <c r="L211" s="16" t="str">
        <f t="shared" si="38"/>
        <v>Valid</v>
      </c>
      <c r="M211" s="16" t="str">
        <f t="shared" si="39"/>
        <v>Valid</v>
      </c>
      <c r="N211" s="17" t="str">
        <f t="shared" si="40"/>
        <v>Stable/Reducing</v>
      </c>
      <c r="O211" s="16">
        <f t="shared" si="41"/>
        <v>2.784313725490196</v>
      </c>
      <c r="P211" s="14">
        <f t="shared" si="43"/>
        <v>10858.142857142857</v>
      </c>
      <c r="Q211" s="16">
        <f t="shared" si="42"/>
        <v>2918.4580782596145</v>
      </c>
    </row>
    <row r="212" spans="1:17" x14ac:dyDescent="0.3">
      <c r="A212" s="13">
        <v>45260</v>
      </c>
      <c r="B212" s="13" t="str">
        <f t="shared" si="33"/>
        <v>November</v>
      </c>
      <c r="C212" s="13" t="str">
        <f t="shared" si="34"/>
        <v>2023-11</v>
      </c>
      <c r="D212" s="8">
        <v>92</v>
      </c>
      <c r="E212" s="8">
        <v>124</v>
      </c>
      <c r="F212" s="8">
        <v>93</v>
      </c>
      <c r="G212" s="8">
        <v>10536</v>
      </c>
      <c r="H212" s="8">
        <v>320</v>
      </c>
      <c r="I212" s="14">
        <f t="shared" si="35"/>
        <v>10660</v>
      </c>
      <c r="J212" s="14">
        <f t="shared" si="36"/>
        <v>-227</v>
      </c>
      <c r="K212" s="15">
        <f t="shared" si="37"/>
        <v>1.4446529080675423E-2</v>
      </c>
      <c r="L212" s="16" t="str">
        <f t="shared" si="38"/>
        <v>Valid</v>
      </c>
      <c r="M212" s="16" t="str">
        <f t="shared" si="39"/>
        <v>Valid</v>
      </c>
      <c r="N212" s="17" t="str">
        <f t="shared" si="40"/>
        <v>Stable/Reducing</v>
      </c>
      <c r="O212" s="16">
        <f t="shared" si="41"/>
        <v>3.4408602150537635</v>
      </c>
      <c r="P212" s="14">
        <f t="shared" si="43"/>
        <v>10942.714285714286</v>
      </c>
      <c r="Q212" s="16">
        <f t="shared" si="42"/>
        <v>2918.4580782596145</v>
      </c>
    </row>
    <row r="213" spans="1:17" x14ac:dyDescent="0.3">
      <c r="A213" s="13">
        <v>45263</v>
      </c>
      <c r="B213" s="13" t="str">
        <f t="shared" si="33"/>
        <v>December</v>
      </c>
      <c r="C213" s="13" t="str">
        <f t="shared" si="34"/>
        <v>2023-12</v>
      </c>
      <c r="D213" s="8">
        <v>132</v>
      </c>
      <c r="E213" s="8">
        <v>235</v>
      </c>
      <c r="F213" s="8">
        <v>197</v>
      </c>
      <c r="G213" s="8">
        <v>10579</v>
      </c>
      <c r="H213" s="8">
        <v>417</v>
      </c>
      <c r="I213" s="14">
        <f t="shared" si="35"/>
        <v>10814</v>
      </c>
      <c r="J213" s="14">
        <f t="shared" si="36"/>
        <v>-220</v>
      </c>
      <c r="K213" s="15">
        <f t="shared" si="37"/>
        <v>2.6817088958757166E-3</v>
      </c>
      <c r="L213" s="16" t="str">
        <f t="shared" si="38"/>
        <v>Valid</v>
      </c>
      <c r="M213" s="16" t="str">
        <f t="shared" si="39"/>
        <v>Valid</v>
      </c>
      <c r="N213" s="17" t="str">
        <f t="shared" si="40"/>
        <v>Stable/Reducing</v>
      </c>
      <c r="O213" s="16">
        <f t="shared" si="41"/>
        <v>2.1167512690355328</v>
      </c>
      <c r="P213" s="14">
        <f t="shared" si="43"/>
        <v>11013.857142857143</v>
      </c>
      <c r="Q213" s="16">
        <f t="shared" si="42"/>
        <v>2918.4580782596145</v>
      </c>
    </row>
    <row r="214" spans="1:17" x14ac:dyDescent="0.3">
      <c r="A214" s="13">
        <v>45264</v>
      </c>
      <c r="B214" s="13" t="str">
        <f t="shared" si="33"/>
        <v>December</v>
      </c>
      <c r="C214" s="13" t="str">
        <f t="shared" si="34"/>
        <v>2023-12</v>
      </c>
      <c r="D214" s="8">
        <v>174</v>
      </c>
      <c r="E214" s="8">
        <v>208</v>
      </c>
      <c r="F214" s="8">
        <v>256</v>
      </c>
      <c r="G214" s="8">
        <v>10635</v>
      </c>
      <c r="H214" s="8">
        <v>273</v>
      </c>
      <c r="I214" s="14">
        <f t="shared" si="35"/>
        <v>10843</v>
      </c>
      <c r="J214" s="14">
        <f t="shared" si="36"/>
        <v>-17</v>
      </c>
      <c r="K214" s="15">
        <f t="shared" si="37"/>
        <v>1.3649359033477819E-2</v>
      </c>
      <c r="L214" s="16" t="str">
        <f t="shared" si="38"/>
        <v>Invalid</v>
      </c>
      <c r="M214" s="16" t="str">
        <f t="shared" si="39"/>
        <v>Valid</v>
      </c>
      <c r="N214" s="17" t="str">
        <f t="shared" si="40"/>
        <v>Stable/Reducing</v>
      </c>
      <c r="O214" s="16">
        <f t="shared" si="41"/>
        <v>1.06640625</v>
      </c>
      <c r="P214" s="14">
        <f t="shared" si="43"/>
        <v>11076.142857142857</v>
      </c>
      <c r="Q214" s="16">
        <f t="shared" si="42"/>
        <v>2918.4580782596145</v>
      </c>
    </row>
    <row r="215" spans="1:17" x14ac:dyDescent="0.3">
      <c r="A215" s="13">
        <v>45265</v>
      </c>
      <c r="B215" s="13" t="str">
        <f t="shared" si="33"/>
        <v>December</v>
      </c>
      <c r="C215" s="13" t="str">
        <f t="shared" si="34"/>
        <v>2023-12</v>
      </c>
      <c r="D215" s="8">
        <v>123</v>
      </c>
      <c r="E215" s="8">
        <v>230</v>
      </c>
      <c r="F215" s="8">
        <v>167</v>
      </c>
      <c r="G215" s="8">
        <v>10761</v>
      </c>
      <c r="H215" s="8">
        <v>261</v>
      </c>
      <c r="I215" s="14">
        <f t="shared" si="35"/>
        <v>10991</v>
      </c>
      <c r="J215" s="14">
        <f t="shared" si="36"/>
        <v>-94</v>
      </c>
      <c r="K215" s="15">
        <f t="shared" si="37"/>
        <v>6.73278136657265E-3</v>
      </c>
      <c r="L215" s="16" t="str">
        <f t="shared" si="38"/>
        <v>Valid</v>
      </c>
      <c r="M215" s="16" t="str">
        <f t="shared" si="39"/>
        <v>Valid</v>
      </c>
      <c r="N215" s="17" t="str">
        <f t="shared" si="40"/>
        <v>Stable/Reducing</v>
      </c>
      <c r="O215" s="16">
        <f t="shared" si="41"/>
        <v>1.562874251497006</v>
      </c>
      <c r="P215" s="14">
        <f t="shared" si="43"/>
        <v>11151.857142857143</v>
      </c>
      <c r="Q215" s="16">
        <f t="shared" si="42"/>
        <v>2918.4580782596145</v>
      </c>
    </row>
    <row r="216" spans="1:17" x14ac:dyDescent="0.3">
      <c r="A216" s="13">
        <v>45266</v>
      </c>
      <c r="B216" s="13" t="str">
        <f t="shared" si="33"/>
        <v>December</v>
      </c>
      <c r="C216" s="13" t="str">
        <f t="shared" si="34"/>
        <v>2023-12</v>
      </c>
      <c r="D216" s="8">
        <v>123</v>
      </c>
      <c r="E216" s="8">
        <v>233</v>
      </c>
      <c r="F216" s="8">
        <v>159</v>
      </c>
      <c r="G216" s="8">
        <v>10832</v>
      </c>
      <c r="H216" s="8">
        <v>376</v>
      </c>
      <c r="I216" s="14">
        <f t="shared" si="35"/>
        <v>11065</v>
      </c>
      <c r="J216" s="14">
        <f t="shared" si="36"/>
        <v>-217</v>
      </c>
      <c r="K216" s="15">
        <f t="shared" si="37"/>
        <v>5.7840036150022594E-3</v>
      </c>
      <c r="L216" s="16" t="str">
        <f t="shared" si="38"/>
        <v>Valid</v>
      </c>
      <c r="M216" s="16" t="str">
        <f t="shared" si="39"/>
        <v>Valid</v>
      </c>
      <c r="N216" s="17" t="str">
        <f t="shared" si="40"/>
        <v>Stable/Reducing</v>
      </c>
      <c r="O216" s="16">
        <f t="shared" si="41"/>
        <v>2.3647798742138364</v>
      </c>
      <c r="P216" s="14">
        <f t="shared" si="43"/>
        <v>11210.142857142857</v>
      </c>
      <c r="Q216" s="16">
        <f t="shared" si="42"/>
        <v>2918.4580782596145</v>
      </c>
    </row>
    <row r="217" spans="1:17" x14ac:dyDescent="0.3">
      <c r="A217" s="13">
        <v>45267</v>
      </c>
      <c r="B217" s="13" t="str">
        <f t="shared" si="33"/>
        <v>December</v>
      </c>
      <c r="C217" s="13" t="str">
        <f t="shared" si="34"/>
        <v>2023-12</v>
      </c>
      <c r="D217" s="8">
        <v>141</v>
      </c>
      <c r="E217" s="8">
        <v>232</v>
      </c>
      <c r="F217" s="8">
        <v>188</v>
      </c>
      <c r="G217" s="8">
        <v>10897</v>
      </c>
      <c r="H217" s="8">
        <v>466</v>
      </c>
      <c r="I217" s="14">
        <f t="shared" si="35"/>
        <v>11129</v>
      </c>
      <c r="J217" s="14">
        <f t="shared" si="36"/>
        <v>-278</v>
      </c>
      <c r="K217" s="15">
        <f t="shared" si="37"/>
        <v>-2.8753706532482701E-3</v>
      </c>
      <c r="L217" s="16" t="str">
        <f t="shared" si="38"/>
        <v>Valid</v>
      </c>
      <c r="M217" s="16" t="str">
        <f t="shared" si="39"/>
        <v>Valid</v>
      </c>
      <c r="N217" s="17" t="str">
        <f t="shared" si="40"/>
        <v>Stable/Reducing</v>
      </c>
      <c r="O217" s="16">
        <f t="shared" si="41"/>
        <v>2.478723404255319</v>
      </c>
      <c r="P217" s="14">
        <f t="shared" si="43"/>
        <v>11239.142857142857</v>
      </c>
      <c r="Q217" s="16">
        <f t="shared" si="42"/>
        <v>2918.4580782596145</v>
      </c>
    </row>
    <row r="218" spans="1:17" x14ac:dyDescent="0.3">
      <c r="A218" s="13">
        <v>45270</v>
      </c>
      <c r="B218" s="13" t="str">
        <f t="shared" si="33"/>
        <v>December</v>
      </c>
      <c r="C218" s="13" t="str">
        <f t="shared" si="34"/>
        <v>2023-12</v>
      </c>
      <c r="D218" s="8">
        <v>158</v>
      </c>
      <c r="E218" s="8">
        <v>226</v>
      </c>
      <c r="F218" s="8">
        <v>191</v>
      </c>
      <c r="G218" s="8">
        <v>10871</v>
      </c>
      <c r="H218" s="8">
        <v>411</v>
      </c>
      <c r="I218" s="14">
        <f t="shared" si="35"/>
        <v>11097</v>
      </c>
      <c r="J218" s="14">
        <f t="shared" si="36"/>
        <v>-220</v>
      </c>
      <c r="K218" s="15">
        <f t="shared" si="37"/>
        <v>5.4969811660809231E-3</v>
      </c>
      <c r="L218" s="16" t="str">
        <f t="shared" si="38"/>
        <v>Valid</v>
      </c>
      <c r="M218" s="16" t="str">
        <f t="shared" si="39"/>
        <v>Valid</v>
      </c>
      <c r="N218" s="17" t="str">
        <f t="shared" si="40"/>
        <v>Stable/Reducing</v>
      </c>
      <c r="O218" s="16">
        <f t="shared" si="41"/>
        <v>2.1518324607329844</v>
      </c>
      <c r="P218" s="14">
        <f t="shared" si="43"/>
        <v>11268.857142857143</v>
      </c>
      <c r="Q218" s="16">
        <f t="shared" si="42"/>
        <v>2918.4580782596145</v>
      </c>
    </row>
    <row r="219" spans="1:17" x14ac:dyDescent="0.3">
      <c r="A219" s="13">
        <v>45271</v>
      </c>
      <c r="B219" s="13" t="str">
        <f t="shared" si="33"/>
        <v>December</v>
      </c>
      <c r="C219" s="13" t="str">
        <f t="shared" si="34"/>
        <v>2023-12</v>
      </c>
      <c r="D219" s="8">
        <v>96</v>
      </c>
      <c r="E219" s="8">
        <v>160</v>
      </c>
      <c r="F219" s="8">
        <v>233</v>
      </c>
      <c r="G219" s="8">
        <v>10998</v>
      </c>
      <c r="H219" s="8">
        <v>304</v>
      </c>
      <c r="I219" s="14">
        <f t="shared" si="35"/>
        <v>11158</v>
      </c>
      <c r="J219" s="14">
        <f t="shared" si="36"/>
        <v>-71</v>
      </c>
      <c r="K219" s="15">
        <f t="shared" si="37"/>
        <v>8.2452052339128876E-3</v>
      </c>
      <c r="L219" s="16" t="str">
        <f t="shared" si="38"/>
        <v>Invalid</v>
      </c>
      <c r="M219" s="16" t="str">
        <f t="shared" si="39"/>
        <v>Valid</v>
      </c>
      <c r="N219" s="17" t="str">
        <f t="shared" si="40"/>
        <v>Stable/Reducing</v>
      </c>
      <c r="O219" s="16">
        <f t="shared" si="41"/>
        <v>1.3047210300429184</v>
      </c>
      <c r="P219" s="14">
        <f t="shared" si="43"/>
        <v>11323</v>
      </c>
      <c r="Q219" s="16">
        <f t="shared" si="42"/>
        <v>2918.4580782596145</v>
      </c>
    </row>
    <row r="220" spans="1:17" x14ac:dyDescent="0.3">
      <c r="A220" s="13">
        <v>45272</v>
      </c>
      <c r="B220" s="13" t="str">
        <f t="shared" si="33"/>
        <v>December</v>
      </c>
      <c r="C220" s="13" t="str">
        <f t="shared" si="34"/>
        <v>2023-12</v>
      </c>
      <c r="D220" s="8">
        <v>141</v>
      </c>
      <c r="E220" s="8">
        <v>173</v>
      </c>
      <c r="F220" s="8">
        <v>129</v>
      </c>
      <c r="G220" s="8">
        <v>11077</v>
      </c>
      <c r="H220" s="8">
        <v>259</v>
      </c>
      <c r="I220" s="14">
        <f t="shared" si="35"/>
        <v>11250</v>
      </c>
      <c r="J220" s="14">
        <f t="shared" si="36"/>
        <v>-130</v>
      </c>
      <c r="K220" s="15">
        <f t="shared" si="37"/>
        <v>1.0933333333333333E-2</v>
      </c>
      <c r="L220" s="16" t="str">
        <f t="shared" si="38"/>
        <v>Valid</v>
      </c>
      <c r="M220" s="16" t="str">
        <f t="shared" si="39"/>
        <v>Valid</v>
      </c>
      <c r="N220" s="17" t="str">
        <f t="shared" si="40"/>
        <v>Stable/Reducing</v>
      </c>
      <c r="O220" s="16">
        <f t="shared" si="41"/>
        <v>2.0077519379844961</v>
      </c>
      <c r="P220" s="14">
        <f t="shared" si="43"/>
        <v>11409.285714285714</v>
      </c>
      <c r="Q220" s="16">
        <f t="shared" si="42"/>
        <v>2918.4580782596145</v>
      </c>
    </row>
    <row r="221" spans="1:17" x14ac:dyDescent="0.3">
      <c r="A221" s="13">
        <v>45273</v>
      </c>
      <c r="B221" s="13" t="str">
        <f t="shared" si="33"/>
        <v>December</v>
      </c>
      <c r="C221" s="13" t="str">
        <f t="shared" si="34"/>
        <v>2023-12</v>
      </c>
      <c r="D221" s="8">
        <v>116</v>
      </c>
      <c r="E221" s="8">
        <v>181</v>
      </c>
      <c r="F221" s="8">
        <v>182</v>
      </c>
      <c r="G221" s="8">
        <v>11192</v>
      </c>
      <c r="H221" s="8">
        <v>335</v>
      </c>
      <c r="I221" s="14">
        <f t="shared" si="35"/>
        <v>11373</v>
      </c>
      <c r="J221" s="14">
        <f t="shared" si="36"/>
        <v>-153</v>
      </c>
      <c r="K221" s="15">
        <f t="shared" si="37"/>
        <v>2.2861162402180602E-3</v>
      </c>
      <c r="L221" s="16" t="str">
        <f t="shared" si="38"/>
        <v>Invalid</v>
      </c>
      <c r="M221" s="16" t="str">
        <f t="shared" si="39"/>
        <v>Valid</v>
      </c>
      <c r="N221" s="17" t="str">
        <f t="shared" si="40"/>
        <v>Stable/Reducing</v>
      </c>
      <c r="O221" s="16">
        <f t="shared" si="41"/>
        <v>1.8406593406593406</v>
      </c>
      <c r="P221" s="14">
        <f t="shared" si="43"/>
        <v>11459.714285714286</v>
      </c>
      <c r="Q221" s="16">
        <f t="shared" si="42"/>
        <v>2918.4580782596145</v>
      </c>
    </row>
    <row r="222" spans="1:17" x14ac:dyDescent="0.3">
      <c r="A222" s="13">
        <v>45274</v>
      </c>
      <c r="B222" s="13" t="str">
        <f t="shared" si="33"/>
        <v>December</v>
      </c>
      <c r="C222" s="13" t="str">
        <f t="shared" si="34"/>
        <v>2023-12</v>
      </c>
      <c r="D222" s="8">
        <v>150</v>
      </c>
      <c r="E222" s="8">
        <v>157</v>
      </c>
      <c r="F222" s="8">
        <v>201</v>
      </c>
      <c r="G222" s="8">
        <v>11242</v>
      </c>
      <c r="H222" s="8">
        <v>396</v>
      </c>
      <c r="I222" s="14">
        <f t="shared" si="35"/>
        <v>11399</v>
      </c>
      <c r="J222" s="14">
        <f t="shared" si="36"/>
        <v>-195</v>
      </c>
      <c r="K222" s="15">
        <f t="shared" si="37"/>
        <v>-1.149223616106676E-2</v>
      </c>
      <c r="L222" s="16" t="str">
        <f t="shared" si="38"/>
        <v>Invalid</v>
      </c>
      <c r="M222" s="16" t="str">
        <f t="shared" si="39"/>
        <v>Valid</v>
      </c>
      <c r="N222" s="17" t="str">
        <f t="shared" si="40"/>
        <v>Stable/Reducing</v>
      </c>
      <c r="O222" s="16">
        <f t="shared" si="41"/>
        <v>1.9701492537313432</v>
      </c>
      <c r="P222" s="14">
        <f t="shared" si="43"/>
        <v>11455</v>
      </c>
      <c r="Q222" s="16">
        <f t="shared" si="42"/>
        <v>2918.4580782596145</v>
      </c>
    </row>
    <row r="223" spans="1:17" x14ac:dyDescent="0.3">
      <c r="A223" s="13">
        <v>45277</v>
      </c>
      <c r="B223" s="13" t="str">
        <f t="shared" si="33"/>
        <v>December</v>
      </c>
      <c r="C223" s="13" t="str">
        <f t="shared" si="34"/>
        <v>2023-12</v>
      </c>
      <c r="D223" s="8">
        <v>80</v>
      </c>
      <c r="E223" s="8">
        <v>176</v>
      </c>
      <c r="F223" s="8">
        <v>125</v>
      </c>
      <c r="G223" s="8">
        <v>11092</v>
      </c>
      <c r="H223" s="8">
        <v>456</v>
      </c>
      <c r="I223" s="14">
        <f t="shared" si="35"/>
        <v>11268</v>
      </c>
      <c r="J223" s="14">
        <f t="shared" si="36"/>
        <v>-331</v>
      </c>
      <c r="K223" s="15">
        <f t="shared" si="37"/>
        <v>6.1235356762513312E-3</v>
      </c>
      <c r="L223" s="16" t="str">
        <f t="shared" si="38"/>
        <v>Valid</v>
      </c>
      <c r="M223" s="16" t="str">
        <f t="shared" si="39"/>
        <v>Valid</v>
      </c>
      <c r="N223" s="17" t="str">
        <f t="shared" si="40"/>
        <v>Stable/Reducing</v>
      </c>
      <c r="O223" s="16">
        <f t="shared" si="41"/>
        <v>3.6480000000000001</v>
      </c>
      <c r="P223" s="14">
        <f t="shared" si="43"/>
        <v>11440.714285714286</v>
      </c>
      <c r="Q223" s="16">
        <f t="shared" si="42"/>
        <v>2918.4580782596145</v>
      </c>
    </row>
    <row r="224" spans="1:17" x14ac:dyDescent="0.3">
      <c r="A224" s="13">
        <v>45278</v>
      </c>
      <c r="B224" s="13" t="str">
        <f t="shared" si="33"/>
        <v>December</v>
      </c>
      <c r="C224" s="13" t="str">
        <f t="shared" si="34"/>
        <v>2023-12</v>
      </c>
      <c r="D224" s="8">
        <v>116</v>
      </c>
      <c r="E224" s="8">
        <v>188</v>
      </c>
      <c r="F224" s="8">
        <v>164</v>
      </c>
      <c r="G224" s="8">
        <v>11149</v>
      </c>
      <c r="H224" s="8">
        <v>364</v>
      </c>
      <c r="I224" s="14">
        <f t="shared" si="35"/>
        <v>11337</v>
      </c>
      <c r="J224" s="14">
        <f t="shared" si="36"/>
        <v>-200</v>
      </c>
      <c r="K224" s="15">
        <f t="shared" si="37"/>
        <v>1.2260739172620622E-2</v>
      </c>
      <c r="L224" s="16" t="str">
        <f t="shared" si="38"/>
        <v>Valid</v>
      </c>
      <c r="M224" s="16" t="str">
        <f t="shared" si="39"/>
        <v>Valid</v>
      </c>
      <c r="N224" s="17" t="str">
        <f t="shared" si="40"/>
        <v>Stable/Reducing</v>
      </c>
      <c r="O224" s="16">
        <f t="shared" si="41"/>
        <v>2.2195121951219514</v>
      </c>
      <c r="P224" s="14">
        <f t="shared" si="43"/>
        <v>11446.571428571429</v>
      </c>
      <c r="Q224" s="16">
        <f t="shared" si="42"/>
        <v>2918.4580782596145</v>
      </c>
    </row>
    <row r="225" spans="1:17" x14ac:dyDescent="0.3">
      <c r="A225" s="13">
        <v>45279</v>
      </c>
      <c r="B225" s="13" t="str">
        <f t="shared" si="33"/>
        <v>December</v>
      </c>
      <c r="C225" s="13" t="str">
        <f t="shared" si="34"/>
        <v>2023-12</v>
      </c>
      <c r="D225" s="8">
        <v>105</v>
      </c>
      <c r="E225" s="8">
        <v>185</v>
      </c>
      <c r="F225" s="8">
        <v>158</v>
      </c>
      <c r="G225" s="8">
        <v>11291</v>
      </c>
      <c r="H225" s="8">
        <v>272</v>
      </c>
      <c r="I225" s="14">
        <f t="shared" si="35"/>
        <v>11476</v>
      </c>
      <c r="J225" s="14">
        <f t="shared" si="36"/>
        <v>-114</v>
      </c>
      <c r="K225" s="15">
        <f t="shared" si="37"/>
        <v>2.4921575461833392E-2</v>
      </c>
      <c r="L225" s="16" t="str">
        <f t="shared" si="38"/>
        <v>Valid</v>
      </c>
      <c r="M225" s="16" t="str">
        <f t="shared" si="39"/>
        <v>Valid</v>
      </c>
      <c r="N225" s="17" t="str">
        <f t="shared" si="40"/>
        <v>Stable/Reducing</v>
      </c>
      <c r="O225" s="16">
        <f t="shared" si="41"/>
        <v>1.7215189873417722</v>
      </c>
      <c r="P225" s="14">
        <f t="shared" si="43"/>
        <v>11446.571428571429</v>
      </c>
      <c r="Q225" s="16">
        <f t="shared" si="42"/>
        <v>2918.4580782596145</v>
      </c>
    </row>
    <row r="226" spans="1:17" x14ac:dyDescent="0.3">
      <c r="A226" s="13">
        <v>45280</v>
      </c>
      <c r="B226" s="13" t="str">
        <f t="shared" si="33"/>
        <v>December</v>
      </c>
      <c r="C226" s="13" t="str">
        <f t="shared" si="34"/>
        <v>2023-12</v>
      </c>
      <c r="D226" s="8">
        <v>136</v>
      </c>
      <c r="E226" s="8">
        <v>246</v>
      </c>
      <c r="F226" s="8">
        <v>123</v>
      </c>
      <c r="G226" s="8">
        <v>11516</v>
      </c>
      <c r="H226" s="8">
        <v>390</v>
      </c>
      <c r="I226" s="14">
        <f t="shared" si="35"/>
        <v>11762</v>
      </c>
      <c r="J226" s="14">
        <f t="shared" si="36"/>
        <v>-267</v>
      </c>
      <c r="K226" s="15">
        <f t="shared" si="37"/>
        <v>-1.3518109165107975E-2</v>
      </c>
      <c r="L226" s="16" t="str">
        <f t="shared" si="38"/>
        <v>Valid</v>
      </c>
      <c r="M226" s="16" t="str">
        <f t="shared" si="39"/>
        <v>Valid</v>
      </c>
      <c r="N226" s="17" t="str">
        <f t="shared" si="40"/>
        <v>Stable/Reducing</v>
      </c>
      <c r="O226" s="16">
        <f t="shared" si="41"/>
        <v>3.1707317073170733</v>
      </c>
      <c r="P226" s="14">
        <f t="shared" si="43"/>
        <v>11377.714285714286</v>
      </c>
      <c r="Q226" s="16">
        <f t="shared" si="42"/>
        <v>2918.4580782596145</v>
      </c>
    </row>
    <row r="227" spans="1:17" x14ac:dyDescent="0.3">
      <c r="A227" s="13">
        <v>45281</v>
      </c>
      <c r="B227" s="13" t="str">
        <f t="shared" si="33"/>
        <v>December</v>
      </c>
      <c r="C227" s="13" t="str">
        <f t="shared" si="34"/>
        <v>2023-12</v>
      </c>
      <c r="D227" s="8">
        <v>128</v>
      </c>
      <c r="E227" s="8">
        <v>228</v>
      </c>
      <c r="F227" s="8">
        <v>177</v>
      </c>
      <c r="G227" s="8">
        <v>11375</v>
      </c>
      <c r="H227" s="8">
        <v>497</v>
      </c>
      <c r="I227" s="14">
        <f t="shared" si="35"/>
        <v>11603</v>
      </c>
      <c r="J227" s="14">
        <f t="shared" si="36"/>
        <v>-320</v>
      </c>
      <c r="K227" s="15">
        <f t="shared" si="37"/>
        <v>-2.2666551753856762E-2</v>
      </c>
      <c r="L227" s="16" t="str">
        <f t="shared" si="38"/>
        <v>Valid</v>
      </c>
      <c r="M227" s="16" t="str">
        <f t="shared" si="39"/>
        <v>Valid</v>
      </c>
      <c r="N227" s="17" t="str">
        <f t="shared" si="40"/>
        <v>Stable/Reducing</v>
      </c>
      <c r="O227" s="16">
        <f t="shared" si="41"/>
        <v>2.8079096045197742</v>
      </c>
      <c r="P227" s="14">
        <f t="shared" si="43"/>
        <v>11259.142857142857</v>
      </c>
      <c r="Q227" s="16">
        <f t="shared" si="42"/>
        <v>2918.4580782596145</v>
      </c>
    </row>
    <row r="228" spans="1:17" x14ac:dyDescent="0.3">
      <c r="A228" s="13">
        <v>45285</v>
      </c>
      <c r="B228" s="13" t="str">
        <f t="shared" si="33"/>
        <v>December</v>
      </c>
      <c r="C228" s="13" t="str">
        <f t="shared" si="34"/>
        <v>2023-12</v>
      </c>
      <c r="D228" s="8">
        <v>90</v>
      </c>
      <c r="E228" s="8">
        <v>196</v>
      </c>
      <c r="F228" s="8">
        <v>205</v>
      </c>
      <c r="G228" s="8">
        <v>11144</v>
      </c>
      <c r="H228" s="8">
        <v>347</v>
      </c>
      <c r="I228" s="14">
        <f t="shared" si="35"/>
        <v>11340</v>
      </c>
      <c r="J228" s="14">
        <f t="shared" si="36"/>
        <v>-142</v>
      </c>
      <c r="K228" s="15">
        <f t="shared" si="37"/>
        <v>-3.6155202821869488E-3</v>
      </c>
      <c r="L228" s="16" t="str">
        <f t="shared" si="38"/>
        <v>Invalid</v>
      </c>
      <c r="M228" s="16" t="str">
        <f t="shared" si="39"/>
        <v>Valid</v>
      </c>
      <c r="N228" s="17" t="str">
        <f t="shared" si="40"/>
        <v>Stable/Reducing</v>
      </c>
      <c r="O228" s="16">
        <f t="shared" si="41"/>
        <v>1.6926829268292682</v>
      </c>
      <c r="P228" s="14">
        <f t="shared" si="43"/>
        <v>11160.714285714286</v>
      </c>
      <c r="Q228" s="16">
        <f t="shared" si="42"/>
        <v>2918.4580782596145</v>
      </c>
    </row>
    <row r="229" spans="1:17" x14ac:dyDescent="0.3">
      <c r="A229" s="13">
        <v>45286</v>
      </c>
      <c r="B229" s="13" t="str">
        <f t="shared" si="33"/>
        <v>December</v>
      </c>
      <c r="C229" s="13" t="str">
        <f t="shared" si="34"/>
        <v>2023-12</v>
      </c>
      <c r="D229" s="8">
        <v>56</v>
      </c>
      <c r="E229" s="8">
        <v>82</v>
      </c>
      <c r="F229" s="8">
        <v>68</v>
      </c>
      <c r="G229" s="8">
        <v>11217</v>
      </c>
      <c r="H229" s="8">
        <v>288</v>
      </c>
      <c r="I229" s="14">
        <f t="shared" si="35"/>
        <v>11299</v>
      </c>
      <c r="J229" s="14">
        <f t="shared" si="36"/>
        <v>-220</v>
      </c>
      <c r="K229" s="15">
        <f t="shared" si="37"/>
        <v>8.8503407381184177E-4</v>
      </c>
      <c r="L229" s="16" t="str">
        <f t="shared" si="38"/>
        <v>Valid</v>
      </c>
      <c r="M229" s="16" t="str">
        <f t="shared" si="39"/>
        <v>Valid</v>
      </c>
      <c r="N229" s="17" t="str">
        <f t="shared" si="40"/>
        <v>Stable/Reducing</v>
      </c>
      <c r="O229" s="16">
        <f t="shared" si="41"/>
        <v>4.2352941176470589</v>
      </c>
      <c r="P229" s="14">
        <f t="shared" si="43"/>
        <v>11070.714285714286</v>
      </c>
      <c r="Q229" s="16">
        <f t="shared" si="42"/>
        <v>2918.4580782596145</v>
      </c>
    </row>
    <row r="230" spans="1:17" x14ac:dyDescent="0.3">
      <c r="A230" s="13">
        <v>45287</v>
      </c>
      <c r="B230" s="13" t="str">
        <f t="shared" si="33"/>
        <v>December</v>
      </c>
      <c r="C230" s="13" t="str">
        <f t="shared" si="34"/>
        <v>2023-12</v>
      </c>
      <c r="D230" s="8">
        <v>74</v>
      </c>
      <c r="E230" s="8">
        <v>103</v>
      </c>
      <c r="F230" s="8">
        <v>80</v>
      </c>
      <c r="G230" s="8">
        <v>11206</v>
      </c>
      <c r="H230" s="8">
        <v>335</v>
      </c>
      <c r="I230" s="14">
        <f t="shared" si="35"/>
        <v>11309</v>
      </c>
      <c r="J230" s="14">
        <f t="shared" si="36"/>
        <v>-255</v>
      </c>
      <c r="K230" s="15">
        <f t="shared" si="37"/>
        <v>2.4759041471394466E-3</v>
      </c>
      <c r="L230" s="16" t="str">
        <f t="shared" si="38"/>
        <v>Valid</v>
      </c>
      <c r="M230" s="16" t="str">
        <f t="shared" si="39"/>
        <v>Valid</v>
      </c>
      <c r="N230" s="17" t="str">
        <f t="shared" si="40"/>
        <v>Stable/Reducing</v>
      </c>
      <c r="O230" s="16">
        <f t="shared" si="41"/>
        <v>4.1875</v>
      </c>
      <c r="P230" s="14">
        <f t="shared" si="43"/>
        <v>10854.857142857143</v>
      </c>
      <c r="Q230" s="16">
        <f t="shared" si="42"/>
        <v>2918.4580782596145</v>
      </c>
    </row>
    <row r="231" spans="1:17" x14ac:dyDescent="0.3">
      <c r="A231" s="13">
        <v>45288</v>
      </c>
      <c r="B231" s="13" t="str">
        <f t="shared" si="33"/>
        <v>December</v>
      </c>
      <c r="C231" s="13" t="str">
        <f t="shared" si="34"/>
        <v>2023-12</v>
      </c>
      <c r="D231" s="8">
        <v>68</v>
      </c>
      <c r="E231" s="8">
        <v>107</v>
      </c>
      <c r="F231" s="8">
        <v>102</v>
      </c>
      <c r="G231" s="8">
        <v>11230</v>
      </c>
      <c r="H231" s="8">
        <v>357</v>
      </c>
      <c r="I231" s="14">
        <f t="shared" si="35"/>
        <v>11337</v>
      </c>
      <c r="J231" s="14">
        <f t="shared" si="36"/>
        <v>-255</v>
      </c>
      <c r="K231" s="15">
        <f t="shared" si="37"/>
        <v>-3.0254917526682544E-2</v>
      </c>
      <c r="L231" s="16" t="str">
        <f t="shared" si="38"/>
        <v>Valid</v>
      </c>
      <c r="M231" s="16" t="str">
        <f t="shared" si="39"/>
        <v>Valid</v>
      </c>
      <c r="N231" s="17" t="str">
        <f t="shared" si="40"/>
        <v>Stable/Reducing</v>
      </c>
      <c r="O231" s="16">
        <f t="shared" si="41"/>
        <v>3.5</v>
      </c>
      <c r="P231" s="14">
        <f t="shared" si="43"/>
        <v>10629.857142857143</v>
      </c>
      <c r="Q231" s="16">
        <f t="shared" si="42"/>
        <v>2918.4580782596145</v>
      </c>
    </row>
    <row r="232" spans="1:17" x14ac:dyDescent="0.3">
      <c r="A232" s="13">
        <v>45292</v>
      </c>
      <c r="B232" s="13" t="str">
        <f t="shared" si="33"/>
        <v>January</v>
      </c>
      <c r="C232" s="13" t="str">
        <f t="shared" si="34"/>
        <v>2024-01</v>
      </c>
      <c r="D232" s="8">
        <v>92</v>
      </c>
      <c r="E232" s="8">
        <v>124</v>
      </c>
      <c r="F232" s="8">
        <v>93</v>
      </c>
      <c r="G232" s="8">
        <v>10870</v>
      </c>
      <c r="H232" s="8">
        <v>290</v>
      </c>
      <c r="I232" s="14">
        <f t="shared" si="35"/>
        <v>10994</v>
      </c>
      <c r="J232" s="14">
        <f t="shared" si="36"/>
        <v>-197</v>
      </c>
      <c r="K232" s="15">
        <f t="shared" si="37"/>
        <v>-5.639439694378752E-3</v>
      </c>
      <c r="L232" s="16" t="str">
        <f t="shared" si="38"/>
        <v>Valid</v>
      </c>
      <c r="M232" s="16" t="str">
        <f t="shared" si="39"/>
        <v>Valid</v>
      </c>
      <c r="N232" s="17" t="str">
        <f t="shared" si="40"/>
        <v>Stable/Reducing</v>
      </c>
      <c r="O232" s="16">
        <f t="shared" si="41"/>
        <v>3.118279569892473</v>
      </c>
      <c r="P232" s="14">
        <f t="shared" si="43"/>
        <v>10354.285714285714</v>
      </c>
      <c r="Q232" s="16">
        <f t="shared" si="42"/>
        <v>2918.4580782596145</v>
      </c>
    </row>
    <row r="233" spans="1:17" x14ac:dyDescent="0.3">
      <c r="A233" s="13">
        <v>45293</v>
      </c>
      <c r="B233" s="13" t="str">
        <f t="shared" si="33"/>
        <v>January</v>
      </c>
      <c r="C233" s="13" t="str">
        <f t="shared" si="34"/>
        <v>2024-01</v>
      </c>
      <c r="D233" s="8">
        <v>113</v>
      </c>
      <c r="E233" s="8">
        <v>162</v>
      </c>
      <c r="F233" s="8">
        <v>107</v>
      </c>
      <c r="G233" s="8">
        <v>10770</v>
      </c>
      <c r="H233" s="8">
        <v>316</v>
      </c>
      <c r="I233" s="14">
        <f t="shared" si="35"/>
        <v>10932</v>
      </c>
      <c r="J233" s="14">
        <f t="shared" si="36"/>
        <v>-209</v>
      </c>
      <c r="K233" s="15">
        <f t="shared" si="37"/>
        <v>-1.6465422612513721E-3</v>
      </c>
      <c r="L233" s="16" t="str">
        <f t="shared" si="38"/>
        <v>Valid</v>
      </c>
      <c r="M233" s="16" t="str">
        <f t="shared" si="39"/>
        <v>Valid</v>
      </c>
      <c r="N233" s="17" t="str">
        <f t="shared" si="40"/>
        <v>Stable/Reducing</v>
      </c>
      <c r="O233" s="16">
        <f t="shared" si="41"/>
        <v>2.9532710280373831</v>
      </c>
      <c r="P233" s="14">
        <f t="shared" si="43"/>
        <v>10100.714285714286</v>
      </c>
      <c r="Q233" s="16">
        <f t="shared" si="42"/>
        <v>2918.4580782596145</v>
      </c>
    </row>
    <row r="234" spans="1:17" x14ac:dyDescent="0.3">
      <c r="A234" s="13">
        <v>45294</v>
      </c>
      <c r="B234" s="13" t="str">
        <f t="shared" si="33"/>
        <v>January</v>
      </c>
      <c r="C234" s="13" t="str">
        <f t="shared" si="34"/>
        <v>2024-01</v>
      </c>
      <c r="D234" s="8">
        <v>106</v>
      </c>
      <c r="E234" s="8">
        <v>196</v>
      </c>
      <c r="F234" s="8">
        <v>131</v>
      </c>
      <c r="G234" s="8">
        <v>10718</v>
      </c>
      <c r="H234" s="8">
        <v>263</v>
      </c>
      <c r="I234" s="14">
        <f t="shared" si="35"/>
        <v>10914</v>
      </c>
      <c r="J234" s="14">
        <f t="shared" si="36"/>
        <v>-132</v>
      </c>
      <c r="K234" s="15">
        <f t="shared" si="37"/>
        <v>-1.8691588785046728E-2</v>
      </c>
      <c r="L234" s="16" t="str">
        <f t="shared" si="38"/>
        <v>Valid</v>
      </c>
      <c r="M234" s="16" t="str">
        <f t="shared" si="39"/>
        <v>Valid</v>
      </c>
      <c r="N234" s="17" t="str">
        <f t="shared" si="40"/>
        <v>Stable/Reducing</v>
      </c>
      <c r="O234" s="16">
        <f t="shared" si="41"/>
        <v>2.0076335877862594</v>
      </c>
      <c r="P234" s="14">
        <f t="shared" si="43"/>
        <v>9807.5714285714294</v>
      </c>
      <c r="Q234" s="16">
        <f t="shared" si="42"/>
        <v>2918.4580782596145</v>
      </c>
    </row>
    <row r="235" spans="1:17" x14ac:dyDescent="0.3">
      <c r="A235" s="13">
        <v>45295</v>
      </c>
      <c r="B235" s="13" t="str">
        <f t="shared" si="33"/>
        <v>January</v>
      </c>
      <c r="C235" s="13" t="str">
        <f t="shared" si="34"/>
        <v>2024-01</v>
      </c>
      <c r="D235" s="8">
        <v>86</v>
      </c>
      <c r="E235" s="8">
        <v>152</v>
      </c>
      <c r="F235" s="8">
        <v>168</v>
      </c>
      <c r="G235" s="8">
        <v>10558</v>
      </c>
      <c r="H235" s="8">
        <v>362</v>
      </c>
      <c r="I235" s="14">
        <f t="shared" si="35"/>
        <v>10710</v>
      </c>
      <c r="J235" s="14">
        <f t="shared" si="36"/>
        <v>-194</v>
      </c>
      <c r="K235" s="15">
        <f t="shared" si="37"/>
        <v>-8.6087768440709617E-2</v>
      </c>
      <c r="L235" s="16" t="str">
        <f t="shared" si="38"/>
        <v>Invalid</v>
      </c>
      <c r="M235" s="16" t="str">
        <f t="shared" si="39"/>
        <v>Valid</v>
      </c>
      <c r="N235" s="17" t="str">
        <f t="shared" si="40"/>
        <v>Stable/Reducing</v>
      </c>
      <c r="O235" s="16">
        <f t="shared" si="41"/>
        <v>2.1547619047619047</v>
      </c>
      <c r="P235" s="14">
        <f t="shared" si="43"/>
        <v>9403.5714285714294</v>
      </c>
      <c r="Q235" s="16">
        <f t="shared" si="42"/>
        <v>2918.4580782596145</v>
      </c>
    </row>
    <row r="236" spans="1:17" x14ac:dyDescent="0.3">
      <c r="A236" s="13">
        <v>45298</v>
      </c>
      <c r="B236" s="13" t="str">
        <f t="shared" si="33"/>
        <v>January</v>
      </c>
      <c r="C236" s="13" t="str">
        <f t="shared" si="34"/>
        <v>2024-01</v>
      </c>
      <c r="D236" s="8">
        <v>84</v>
      </c>
      <c r="E236" s="8">
        <v>118</v>
      </c>
      <c r="F236" s="8">
        <v>136</v>
      </c>
      <c r="G236" s="8">
        <v>9670</v>
      </c>
      <c r="H236" s="8">
        <v>367</v>
      </c>
      <c r="I236" s="14">
        <f t="shared" si="35"/>
        <v>9788</v>
      </c>
      <c r="J236" s="14">
        <f t="shared" si="36"/>
        <v>-231</v>
      </c>
      <c r="K236" s="15">
        <f t="shared" si="37"/>
        <v>-5.5169595422966894E-3</v>
      </c>
      <c r="L236" s="16" t="str">
        <f t="shared" si="38"/>
        <v>Invalid</v>
      </c>
      <c r="M236" s="16" t="str">
        <f t="shared" si="39"/>
        <v>Valid</v>
      </c>
      <c r="N236" s="17" t="str">
        <f t="shared" si="40"/>
        <v>Stable/Reducing</v>
      </c>
      <c r="O236" s="16">
        <f t="shared" si="41"/>
        <v>2.6985294117647061</v>
      </c>
      <c r="P236" s="14">
        <f t="shared" si="43"/>
        <v>9042.4285714285706</v>
      </c>
      <c r="Q236" s="16">
        <f t="shared" si="42"/>
        <v>2918.4580782596145</v>
      </c>
    </row>
    <row r="237" spans="1:17" x14ac:dyDescent="0.3">
      <c r="A237" s="13">
        <v>45299</v>
      </c>
      <c r="B237" s="13" t="str">
        <f t="shared" si="33"/>
        <v>January</v>
      </c>
      <c r="C237" s="13" t="str">
        <f t="shared" si="34"/>
        <v>2024-01</v>
      </c>
      <c r="D237" s="8">
        <v>59</v>
      </c>
      <c r="E237" s="8">
        <v>64</v>
      </c>
      <c r="F237" s="8">
        <v>117</v>
      </c>
      <c r="G237" s="8">
        <v>9670</v>
      </c>
      <c r="H237" s="8">
        <v>367</v>
      </c>
      <c r="I237" s="14">
        <f t="shared" si="35"/>
        <v>9734</v>
      </c>
      <c r="J237" s="14">
        <f t="shared" si="36"/>
        <v>-250</v>
      </c>
      <c r="K237" s="15">
        <f t="shared" si="37"/>
        <v>-3.3490856790630776E-2</v>
      </c>
      <c r="L237" s="16" t="str">
        <f t="shared" si="38"/>
        <v>Invalid</v>
      </c>
      <c r="M237" s="16" t="str">
        <f t="shared" si="39"/>
        <v>Valid</v>
      </c>
      <c r="N237" s="17" t="str">
        <f t="shared" si="40"/>
        <v>Stable/Reducing</v>
      </c>
      <c r="O237" s="16">
        <f t="shared" si="41"/>
        <v>3.1367521367521367</v>
      </c>
      <c r="P237" s="14">
        <f t="shared" si="43"/>
        <v>8822.4285714285706</v>
      </c>
      <c r="Q237" s="16">
        <f t="shared" si="42"/>
        <v>2918.4580782596145</v>
      </c>
    </row>
    <row r="238" spans="1:17" x14ac:dyDescent="0.3">
      <c r="A238" s="13">
        <v>45300</v>
      </c>
      <c r="B238" s="13" t="str">
        <f t="shared" si="33"/>
        <v>January</v>
      </c>
      <c r="C238" s="13" t="str">
        <f t="shared" si="34"/>
        <v>2024-01</v>
      </c>
      <c r="D238" s="8">
        <v>62</v>
      </c>
      <c r="E238" s="8">
        <v>97</v>
      </c>
      <c r="F238" s="8">
        <v>52</v>
      </c>
      <c r="G238" s="8">
        <v>9311</v>
      </c>
      <c r="H238" s="8">
        <v>286</v>
      </c>
      <c r="I238" s="14">
        <f t="shared" si="35"/>
        <v>9408</v>
      </c>
      <c r="J238" s="14">
        <f t="shared" si="36"/>
        <v>-234</v>
      </c>
      <c r="K238" s="15">
        <f t="shared" si="37"/>
        <v>-2.0089285714285716E-2</v>
      </c>
      <c r="L238" s="16" t="str">
        <f t="shared" si="38"/>
        <v>Valid</v>
      </c>
      <c r="M238" s="16" t="str">
        <f t="shared" si="39"/>
        <v>Valid</v>
      </c>
      <c r="N238" s="17" t="str">
        <f t="shared" si="40"/>
        <v>Stable/Reducing</v>
      </c>
      <c r="O238" s="16">
        <f t="shared" si="41"/>
        <v>5.5</v>
      </c>
      <c r="P238" s="14">
        <f t="shared" si="43"/>
        <v>8607.5714285714294</v>
      </c>
      <c r="Q238" s="16">
        <f t="shared" si="42"/>
        <v>2918.4580782596145</v>
      </c>
    </row>
    <row r="239" spans="1:17" x14ac:dyDescent="0.3">
      <c r="A239" s="13">
        <v>45301</v>
      </c>
      <c r="B239" s="13" t="str">
        <f t="shared" si="33"/>
        <v>January</v>
      </c>
      <c r="C239" s="13" t="str">
        <f t="shared" si="34"/>
        <v>2024-01</v>
      </c>
      <c r="D239" s="8">
        <v>91</v>
      </c>
      <c r="E239" s="8">
        <v>75</v>
      </c>
      <c r="F239" s="8">
        <v>97</v>
      </c>
      <c r="G239" s="8">
        <v>9144</v>
      </c>
      <c r="H239" s="8">
        <v>349</v>
      </c>
      <c r="I239" s="14">
        <f t="shared" si="35"/>
        <v>9219</v>
      </c>
      <c r="J239" s="14">
        <f t="shared" si="36"/>
        <v>-252</v>
      </c>
      <c r="K239" s="15">
        <f t="shared" si="37"/>
        <v>-3.6771884152294175E-2</v>
      </c>
      <c r="L239" s="16" t="str">
        <f t="shared" si="38"/>
        <v>Invalid</v>
      </c>
      <c r="M239" s="16" t="str">
        <f t="shared" si="39"/>
        <v>Valid</v>
      </c>
      <c r="N239" s="17" t="str">
        <f t="shared" si="40"/>
        <v>Stable/Reducing</v>
      </c>
      <c r="O239" s="16">
        <f t="shared" si="41"/>
        <v>3.597938144329897</v>
      </c>
      <c r="P239" s="14">
        <f t="shared" si="43"/>
        <v>8429.1428571428569</v>
      </c>
      <c r="Q239" s="16">
        <f t="shared" si="42"/>
        <v>2918.4580782596145</v>
      </c>
    </row>
    <row r="240" spans="1:17" x14ac:dyDescent="0.3">
      <c r="A240" s="13">
        <v>45302</v>
      </c>
      <c r="B240" s="13" t="str">
        <f t="shared" si="33"/>
        <v>January</v>
      </c>
      <c r="C240" s="13" t="str">
        <f t="shared" si="34"/>
        <v>2024-01</v>
      </c>
      <c r="D240" s="8">
        <v>29</v>
      </c>
      <c r="E240" s="8">
        <v>51</v>
      </c>
      <c r="F240" s="8">
        <v>11</v>
      </c>
      <c r="G240" s="8">
        <v>8829</v>
      </c>
      <c r="H240" s="8">
        <v>476</v>
      </c>
      <c r="I240" s="14">
        <f t="shared" si="35"/>
        <v>8880</v>
      </c>
      <c r="J240" s="14">
        <f t="shared" si="36"/>
        <v>-465</v>
      </c>
      <c r="K240" s="15">
        <f t="shared" si="37"/>
        <v>-8.9414414414414417E-2</v>
      </c>
      <c r="L240" s="16" t="str">
        <f t="shared" si="38"/>
        <v>Valid</v>
      </c>
      <c r="M240" s="16" t="str">
        <f t="shared" si="39"/>
        <v>Valid</v>
      </c>
      <c r="N240" s="17" t="str">
        <f t="shared" si="40"/>
        <v>Stable/Reducing</v>
      </c>
      <c r="O240" s="16">
        <f t="shared" si="41"/>
        <v>43.272727272727273</v>
      </c>
      <c r="P240" s="14">
        <f t="shared" si="43"/>
        <v>8291.2857142857138</v>
      </c>
      <c r="Q240" s="16">
        <f t="shared" si="42"/>
        <v>2918.4580782596145</v>
      </c>
    </row>
    <row r="241" spans="1:17" x14ac:dyDescent="0.3">
      <c r="A241" s="13">
        <v>45306</v>
      </c>
      <c r="B241" s="13" t="str">
        <f t="shared" si="33"/>
        <v>January</v>
      </c>
      <c r="C241" s="13" t="str">
        <f t="shared" si="34"/>
        <v>2024-01</v>
      </c>
      <c r="D241" s="8">
        <v>33</v>
      </c>
      <c r="E241" s="8">
        <v>53</v>
      </c>
      <c r="F241" s="8">
        <v>34</v>
      </c>
      <c r="G241" s="8">
        <v>8033</v>
      </c>
      <c r="H241" s="8">
        <v>234</v>
      </c>
      <c r="I241" s="14">
        <f t="shared" si="35"/>
        <v>8086</v>
      </c>
      <c r="J241" s="14">
        <f t="shared" si="36"/>
        <v>-200</v>
      </c>
      <c r="K241" s="15">
        <f t="shared" si="37"/>
        <v>1.1872372000989364E-2</v>
      </c>
      <c r="L241" s="16" t="str">
        <f t="shared" si="38"/>
        <v>Valid</v>
      </c>
      <c r="M241" s="16" t="str">
        <f t="shared" si="39"/>
        <v>Valid</v>
      </c>
      <c r="N241" s="17" t="str">
        <f t="shared" si="40"/>
        <v>Stable/Reducing</v>
      </c>
      <c r="O241" s="16">
        <f t="shared" si="41"/>
        <v>6.882352941176471</v>
      </c>
      <c r="P241" s="14">
        <f t="shared" si="43"/>
        <v>8217.1428571428569</v>
      </c>
      <c r="Q241" s="16">
        <f t="shared" si="42"/>
        <v>2918.4580782596145</v>
      </c>
    </row>
    <row r="242" spans="1:17" x14ac:dyDescent="0.3">
      <c r="A242" s="13">
        <v>45307</v>
      </c>
      <c r="B242" s="13" t="str">
        <f t="shared" si="33"/>
        <v>January</v>
      </c>
      <c r="C242" s="13" t="str">
        <f t="shared" si="34"/>
        <v>2024-01</v>
      </c>
      <c r="D242" s="8">
        <v>32</v>
      </c>
      <c r="E242" s="8">
        <v>49</v>
      </c>
      <c r="F242" s="8">
        <v>39</v>
      </c>
      <c r="G242" s="8">
        <v>8133</v>
      </c>
      <c r="H242" s="8">
        <v>188</v>
      </c>
      <c r="I242" s="14">
        <f t="shared" si="35"/>
        <v>8182</v>
      </c>
      <c r="J242" s="14">
        <f t="shared" si="36"/>
        <v>-149</v>
      </c>
      <c r="K242" s="15">
        <f t="shared" si="37"/>
        <v>8.0664874113908578E-3</v>
      </c>
      <c r="L242" s="16" t="str">
        <f t="shared" si="38"/>
        <v>Valid</v>
      </c>
      <c r="M242" s="16" t="str">
        <f t="shared" si="39"/>
        <v>Valid</v>
      </c>
      <c r="N242" s="17" t="str">
        <f t="shared" si="40"/>
        <v>Stable/Reducing</v>
      </c>
      <c r="O242" s="16">
        <f t="shared" si="41"/>
        <v>4.8205128205128203</v>
      </c>
      <c r="P242" s="14">
        <f t="shared" si="43"/>
        <v>8263.1428571428569</v>
      </c>
      <c r="Q242" s="16">
        <f t="shared" si="42"/>
        <v>2918.4580782596145</v>
      </c>
    </row>
    <row r="243" spans="1:17" x14ac:dyDescent="0.3">
      <c r="A243" s="13">
        <v>45308</v>
      </c>
      <c r="B243" s="13" t="str">
        <f t="shared" si="33"/>
        <v>January</v>
      </c>
      <c r="C243" s="13" t="str">
        <f t="shared" si="34"/>
        <v>2024-01</v>
      </c>
      <c r="D243" s="8">
        <v>80</v>
      </c>
      <c r="E243" s="8">
        <v>176</v>
      </c>
      <c r="F243" s="8">
        <v>125</v>
      </c>
      <c r="G243" s="8">
        <v>8072</v>
      </c>
      <c r="H243" s="8">
        <v>353</v>
      </c>
      <c r="I243" s="14">
        <f t="shared" si="35"/>
        <v>8248</v>
      </c>
      <c r="J243" s="14">
        <f t="shared" si="36"/>
        <v>-228</v>
      </c>
      <c r="K243" s="15">
        <f t="shared" si="37"/>
        <v>-2.1823472356935015E-3</v>
      </c>
      <c r="L243" s="16" t="str">
        <f t="shared" si="38"/>
        <v>Valid</v>
      </c>
      <c r="M243" s="16" t="str">
        <f t="shared" si="39"/>
        <v>Valid</v>
      </c>
      <c r="N243" s="17" t="str">
        <f t="shared" si="40"/>
        <v>Stable/Reducing</v>
      </c>
      <c r="O243" s="16">
        <f t="shared" si="41"/>
        <v>2.8239999999999998</v>
      </c>
      <c r="P243" s="14">
        <f t="shared" si="43"/>
        <v>8289.8571428571431</v>
      </c>
      <c r="Q243" s="16">
        <f t="shared" si="42"/>
        <v>2918.4580782596145</v>
      </c>
    </row>
    <row r="244" spans="1:17" x14ac:dyDescent="0.3">
      <c r="A244" s="13">
        <v>45309</v>
      </c>
      <c r="B244" s="13" t="str">
        <f t="shared" si="33"/>
        <v>January</v>
      </c>
      <c r="C244" s="13" t="str">
        <f t="shared" si="34"/>
        <v>2024-01</v>
      </c>
      <c r="D244" s="8">
        <v>116</v>
      </c>
      <c r="E244" s="8">
        <v>188</v>
      </c>
      <c r="F244" s="8">
        <v>164</v>
      </c>
      <c r="G244" s="8">
        <v>8042</v>
      </c>
      <c r="H244" s="8">
        <v>359</v>
      </c>
      <c r="I244" s="14">
        <f t="shared" si="35"/>
        <v>8230</v>
      </c>
      <c r="J244" s="14">
        <f t="shared" si="36"/>
        <v>-195</v>
      </c>
      <c r="K244" s="15">
        <f t="shared" si="37"/>
        <v>-8.6269744835965976E-3</v>
      </c>
      <c r="L244" s="16" t="str">
        <f t="shared" si="38"/>
        <v>Valid</v>
      </c>
      <c r="M244" s="16" t="str">
        <f t="shared" si="39"/>
        <v>Valid</v>
      </c>
      <c r="N244" s="17" t="str">
        <f t="shared" si="40"/>
        <v>Stable/Reducing</v>
      </c>
      <c r="O244" s="16">
        <f t="shared" si="41"/>
        <v>2.1890243902439024</v>
      </c>
      <c r="P244" s="14">
        <f t="shared" si="43"/>
        <v>8291.7142857142862</v>
      </c>
      <c r="Q244" s="16">
        <f t="shared" si="42"/>
        <v>2918.4580782596145</v>
      </c>
    </row>
    <row r="245" spans="1:17" x14ac:dyDescent="0.3">
      <c r="A245" s="13">
        <v>45312</v>
      </c>
      <c r="B245" s="13" t="str">
        <f t="shared" si="33"/>
        <v>January</v>
      </c>
      <c r="C245" s="13" t="str">
        <f t="shared" si="34"/>
        <v>2024-01</v>
      </c>
      <c r="D245" s="8">
        <v>105</v>
      </c>
      <c r="E245" s="8">
        <v>185</v>
      </c>
      <c r="F245" s="8">
        <v>158</v>
      </c>
      <c r="G245" s="8">
        <v>7974</v>
      </c>
      <c r="H245" s="8">
        <v>371</v>
      </c>
      <c r="I245" s="14">
        <f t="shared" si="35"/>
        <v>8159</v>
      </c>
      <c r="J245" s="14">
        <f t="shared" si="36"/>
        <v>-213</v>
      </c>
      <c r="K245" s="15">
        <f t="shared" si="37"/>
        <v>1.1643583772521142E-2</v>
      </c>
      <c r="L245" s="16" t="str">
        <f t="shared" si="38"/>
        <v>Valid</v>
      </c>
      <c r="M245" s="16" t="str">
        <f t="shared" si="39"/>
        <v>Valid</v>
      </c>
      <c r="N245" s="17" t="str">
        <f t="shared" si="40"/>
        <v>Stable/Reducing</v>
      </c>
      <c r="O245" s="16">
        <f t="shared" si="41"/>
        <v>2.3481012658227849</v>
      </c>
      <c r="P245" s="14">
        <f t="shared" si="43"/>
        <v>8305.8571428571431</v>
      </c>
      <c r="Q245" s="16">
        <f t="shared" si="42"/>
        <v>2918.4580782596145</v>
      </c>
    </row>
    <row r="246" spans="1:17" x14ac:dyDescent="0.3">
      <c r="A246" s="13">
        <v>45313</v>
      </c>
      <c r="B246" s="13" t="str">
        <f t="shared" si="33"/>
        <v>January</v>
      </c>
      <c r="C246" s="13" t="str">
        <f t="shared" si="34"/>
        <v>2024-01</v>
      </c>
      <c r="D246" s="8">
        <v>136</v>
      </c>
      <c r="E246" s="8">
        <v>246</v>
      </c>
      <c r="F246" s="8">
        <v>123</v>
      </c>
      <c r="G246" s="8">
        <v>8008</v>
      </c>
      <c r="H246" s="8">
        <v>222</v>
      </c>
      <c r="I246" s="14">
        <f t="shared" si="35"/>
        <v>8254</v>
      </c>
      <c r="J246" s="14">
        <f t="shared" si="36"/>
        <v>-99</v>
      </c>
      <c r="K246" s="15">
        <f t="shared" si="37"/>
        <v>1.2963411679185849E-2</v>
      </c>
      <c r="L246" s="16" t="str">
        <f t="shared" si="38"/>
        <v>Valid</v>
      </c>
      <c r="M246" s="16" t="str">
        <f t="shared" si="39"/>
        <v>Valid</v>
      </c>
      <c r="N246" s="17" t="str">
        <f t="shared" si="40"/>
        <v>Stable/Reducing</v>
      </c>
      <c r="O246" s="16">
        <f t="shared" si="41"/>
        <v>1.8048780487804879</v>
      </c>
      <c r="P246" s="14">
        <f t="shared" si="43"/>
        <v>8337.4285714285706</v>
      </c>
      <c r="Q246" s="16">
        <f t="shared" si="42"/>
        <v>2918.4580782596145</v>
      </c>
    </row>
    <row r="247" spans="1:17" x14ac:dyDescent="0.3">
      <c r="A247" s="13">
        <v>45314</v>
      </c>
      <c r="B247" s="13" t="str">
        <f t="shared" si="33"/>
        <v>January</v>
      </c>
      <c r="C247" s="13" t="str">
        <f t="shared" si="34"/>
        <v>2024-01</v>
      </c>
      <c r="D247" s="8">
        <v>128</v>
      </c>
      <c r="E247" s="8">
        <v>228</v>
      </c>
      <c r="F247" s="8">
        <v>177</v>
      </c>
      <c r="G247" s="8">
        <v>8133</v>
      </c>
      <c r="H247" s="8">
        <v>202</v>
      </c>
      <c r="I247" s="14">
        <f t="shared" si="35"/>
        <v>8361</v>
      </c>
      <c r="J247" s="14">
        <f t="shared" si="36"/>
        <v>-25</v>
      </c>
      <c r="K247" s="15">
        <f t="shared" si="37"/>
        <v>5.6213371606267191E-3</v>
      </c>
      <c r="L247" s="16" t="str">
        <f t="shared" si="38"/>
        <v>Valid</v>
      </c>
      <c r="M247" s="16" t="str">
        <f t="shared" si="39"/>
        <v>Valid</v>
      </c>
      <c r="N247" s="17" t="str">
        <f t="shared" si="40"/>
        <v>Stable/Reducing</v>
      </c>
      <c r="O247" s="16">
        <f t="shared" si="41"/>
        <v>1.1412429378531073</v>
      </c>
      <c r="P247" s="14">
        <f t="shared" si="43"/>
        <v>8391.1428571428569</v>
      </c>
      <c r="Q247" s="16">
        <f t="shared" si="42"/>
        <v>2918.4580782596145</v>
      </c>
    </row>
    <row r="248" spans="1:17" x14ac:dyDescent="0.3">
      <c r="A248" s="13">
        <v>45315</v>
      </c>
      <c r="B248" s="13" t="str">
        <f t="shared" si="33"/>
        <v>January</v>
      </c>
      <c r="C248" s="13" t="str">
        <f t="shared" si="34"/>
        <v>2024-01</v>
      </c>
      <c r="D248" s="8">
        <v>90</v>
      </c>
      <c r="E248" s="8">
        <v>196</v>
      </c>
      <c r="F248" s="8">
        <v>205</v>
      </c>
      <c r="G248" s="8">
        <v>8212</v>
      </c>
      <c r="H248" s="8">
        <v>243</v>
      </c>
      <c r="I248" s="14">
        <f t="shared" si="35"/>
        <v>8408</v>
      </c>
      <c r="J248" s="14">
        <f t="shared" si="36"/>
        <v>-38</v>
      </c>
      <c r="K248" s="15">
        <f t="shared" si="37"/>
        <v>-4.6384395813510943E-3</v>
      </c>
      <c r="L248" s="16" t="str">
        <f t="shared" si="38"/>
        <v>Invalid</v>
      </c>
      <c r="M248" s="16" t="str">
        <f t="shared" si="39"/>
        <v>Valid</v>
      </c>
      <c r="N248" s="17" t="str">
        <f t="shared" si="40"/>
        <v>Stable/Reducing</v>
      </c>
      <c r="O248" s="16">
        <f t="shared" si="41"/>
        <v>1.1853658536585365</v>
      </c>
      <c r="P248" s="14">
        <f t="shared" si="43"/>
        <v>8408.8571428571431</v>
      </c>
      <c r="Q248" s="16">
        <f t="shared" si="42"/>
        <v>2918.4580782596145</v>
      </c>
    </row>
    <row r="249" spans="1:17" x14ac:dyDescent="0.3">
      <c r="A249" s="13">
        <v>45316</v>
      </c>
      <c r="B249" s="13" t="str">
        <f t="shared" si="33"/>
        <v>January</v>
      </c>
      <c r="C249" s="13" t="str">
        <f t="shared" si="34"/>
        <v>2024-01</v>
      </c>
      <c r="D249" s="8">
        <v>102</v>
      </c>
      <c r="E249" s="8">
        <v>189</v>
      </c>
      <c r="F249" s="8">
        <v>155</v>
      </c>
      <c r="G249" s="8">
        <v>8180</v>
      </c>
      <c r="H249" s="8">
        <v>293</v>
      </c>
      <c r="I249" s="14">
        <f t="shared" si="35"/>
        <v>8369</v>
      </c>
      <c r="J249" s="14">
        <f t="shared" si="36"/>
        <v>-138</v>
      </c>
      <c r="K249" s="15">
        <f t="shared" si="37"/>
        <v>-1.2904767594694706E-2</v>
      </c>
      <c r="L249" s="16" t="str">
        <f t="shared" si="38"/>
        <v>Valid</v>
      </c>
      <c r="M249" s="16" t="str">
        <f t="shared" si="39"/>
        <v>Valid</v>
      </c>
      <c r="N249" s="17" t="str">
        <f t="shared" si="40"/>
        <v>Stable/Reducing</v>
      </c>
      <c r="O249" s="16">
        <f t="shared" si="41"/>
        <v>1.8903225806451613</v>
      </c>
      <c r="P249" s="14">
        <f t="shared" si="43"/>
        <v>8399.7142857142862</v>
      </c>
      <c r="Q249" s="16">
        <f t="shared" si="42"/>
        <v>2918.4580782596145</v>
      </c>
    </row>
    <row r="250" spans="1:17" x14ac:dyDescent="0.3">
      <c r="A250" s="13">
        <v>45319</v>
      </c>
      <c r="B250" s="13" t="str">
        <f t="shared" si="33"/>
        <v>January</v>
      </c>
      <c r="C250" s="13" t="str">
        <f t="shared" si="34"/>
        <v>2024-01</v>
      </c>
      <c r="D250" s="8">
        <v>120</v>
      </c>
      <c r="E250" s="8">
        <v>257</v>
      </c>
      <c r="F250" s="8">
        <v>126</v>
      </c>
      <c r="G250" s="8">
        <v>8004</v>
      </c>
      <c r="H250" s="8">
        <v>307</v>
      </c>
      <c r="I250" s="14">
        <f t="shared" si="35"/>
        <v>8261</v>
      </c>
      <c r="J250" s="14">
        <f t="shared" si="36"/>
        <v>-181</v>
      </c>
      <c r="K250" s="15">
        <f t="shared" si="37"/>
        <v>8.2314489771214139E-3</v>
      </c>
      <c r="L250" s="16" t="str">
        <f t="shared" si="38"/>
        <v>Valid</v>
      </c>
      <c r="M250" s="16" t="str">
        <f t="shared" si="39"/>
        <v>Valid</v>
      </c>
      <c r="N250" s="17" t="str">
        <f t="shared" si="40"/>
        <v>Stable/Reducing</v>
      </c>
      <c r="O250" s="16">
        <f t="shared" si="41"/>
        <v>2.4365079365079363</v>
      </c>
      <c r="P250" s="14">
        <f t="shared" si="43"/>
        <v>8395.2857142857138</v>
      </c>
      <c r="Q250" s="16">
        <f t="shared" si="42"/>
        <v>2918.4580782596145</v>
      </c>
    </row>
    <row r="251" spans="1:17" x14ac:dyDescent="0.3">
      <c r="A251" s="13">
        <v>45320</v>
      </c>
      <c r="B251" s="13" t="str">
        <f t="shared" si="33"/>
        <v>January</v>
      </c>
      <c r="C251" s="13" t="str">
        <f t="shared" si="34"/>
        <v>2024-01</v>
      </c>
      <c r="D251" s="8">
        <v>137</v>
      </c>
      <c r="E251" s="8">
        <v>272</v>
      </c>
      <c r="F251" s="8">
        <v>166</v>
      </c>
      <c r="G251" s="8">
        <v>8057</v>
      </c>
      <c r="H251" s="8">
        <v>195</v>
      </c>
      <c r="I251" s="14">
        <f t="shared" si="35"/>
        <v>8329</v>
      </c>
      <c r="J251" s="14">
        <f t="shared" si="36"/>
        <v>-29</v>
      </c>
      <c r="K251" s="15">
        <f t="shared" si="37"/>
        <v>6.123184055708969E-3</v>
      </c>
      <c r="L251" s="16" t="str">
        <f t="shared" si="38"/>
        <v>Valid</v>
      </c>
      <c r="M251" s="16" t="str">
        <f t="shared" si="39"/>
        <v>Valid</v>
      </c>
      <c r="N251" s="17" t="str">
        <f t="shared" si="40"/>
        <v>Stable/Reducing</v>
      </c>
      <c r="O251" s="16">
        <f t="shared" si="41"/>
        <v>1.1746987951807228</v>
      </c>
      <c r="P251" s="14">
        <f t="shared" si="43"/>
        <v>8429.4285714285706</v>
      </c>
      <c r="Q251" s="16">
        <f t="shared" si="42"/>
        <v>2918.4580782596145</v>
      </c>
    </row>
    <row r="252" spans="1:17" x14ac:dyDescent="0.3">
      <c r="A252" s="13">
        <v>45321</v>
      </c>
      <c r="B252" s="13" t="str">
        <f t="shared" si="33"/>
        <v>January</v>
      </c>
      <c r="C252" s="13" t="str">
        <f t="shared" si="34"/>
        <v>2024-01</v>
      </c>
      <c r="D252" s="8">
        <v>93</v>
      </c>
      <c r="E252" s="8">
        <v>198</v>
      </c>
      <c r="F252" s="8">
        <v>208</v>
      </c>
      <c r="G252" s="8">
        <v>8182</v>
      </c>
      <c r="H252" s="8">
        <v>187</v>
      </c>
      <c r="I252" s="14">
        <f t="shared" si="35"/>
        <v>8380</v>
      </c>
      <c r="J252" s="14">
        <f t="shared" si="36"/>
        <v>21</v>
      </c>
      <c r="K252" s="15">
        <f t="shared" si="37"/>
        <v>2.9832935560859187E-2</v>
      </c>
      <c r="L252" s="16" t="str">
        <f t="shared" si="38"/>
        <v>Invalid</v>
      </c>
      <c r="M252" s="16" t="str">
        <f t="shared" si="39"/>
        <v>Valid</v>
      </c>
      <c r="N252" s="17" t="str">
        <f t="shared" si="40"/>
        <v>Increasing Pressure</v>
      </c>
      <c r="O252" s="16">
        <f t="shared" si="41"/>
        <v>0.89903846153846156</v>
      </c>
      <c r="P252" s="14">
        <f t="shared" si="43"/>
        <v>8470</v>
      </c>
      <c r="Q252" s="16">
        <f t="shared" si="42"/>
        <v>2918.4580782596145</v>
      </c>
    </row>
    <row r="253" spans="1:17" x14ac:dyDescent="0.3">
      <c r="A253" s="13">
        <v>45322</v>
      </c>
      <c r="B253" s="13" t="str">
        <f t="shared" si="33"/>
        <v>January</v>
      </c>
      <c r="C253" s="13" t="str">
        <f t="shared" si="34"/>
        <v>2024-01</v>
      </c>
      <c r="D253" s="8">
        <v>203</v>
      </c>
      <c r="E253" s="8">
        <v>477</v>
      </c>
      <c r="F253" s="8">
        <v>258</v>
      </c>
      <c r="G253" s="8">
        <v>8153</v>
      </c>
      <c r="H253" s="8">
        <v>266</v>
      </c>
      <c r="I253" s="14">
        <f t="shared" si="35"/>
        <v>8630</v>
      </c>
      <c r="J253" s="14">
        <f t="shared" si="36"/>
        <v>-8</v>
      </c>
      <c r="K253" s="15">
        <f t="shared" si="37"/>
        <v>-1.6801853997682505E-2</v>
      </c>
      <c r="L253" s="16" t="str">
        <f t="shared" si="38"/>
        <v>Valid</v>
      </c>
      <c r="M253" s="16" t="str">
        <f t="shared" si="39"/>
        <v>Valid</v>
      </c>
      <c r="N253" s="17" t="str">
        <f t="shared" si="40"/>
        <v>Stable/Reducing</v>
      </c>
      <c r="O253" s="16">
        <f t="shared" si="41"/>
        <v>1.0310077519379846</v>
      </c>
      <c r="P253" s="14">
        <f t="shared" si="43"/>
        <v>8513.8571428571431</v>
      </c>
      <c r="Q253" s="16">
        <f t="shared" si="42"/>
        <v>2918.4580782596145</v>
      </c>
    </row>
    <row r="254" spans="1:17" x14ac:dyDescent="0.3">
      <c r="A254" s="13">
        <v>45323</v>
      </c>
      <c r="B254" s="13" t="str">
        <f t="shared" si="33"/>
        <v>February</v>
      </c>
      <c r="C254" s="13" t="str">
        <f t="shared" si="34"/>
        <v>2024-02</v>
      </c>
      <c r="D254" s="8">
        <v>222</v>
      </c>
      <c r="E254" s="8">
        <v>459</v>
      </c>
      <c r="F254" s="8">
        <v>289</v>
      </c>
      <c r="G254" s="8">
        <v>8026</v>
      </c>
      <c r="H254" s="8">
        <v>337</v>
      </c>
      <c r="I254" s="14">
        <f t="shared" si="35"/>
        <v>8485</v>
      </c>
      <c r="J254" s="14">
        <f t="shared" si="36"/>
        <v>-48</v>
      </c>
      <c r="K254" s="15">
        <f t="shared" si="37"/>
        <v>-1.6617560400707131E-2</v>
      </c>
      <c r="L254" s="16" t="str">
        <f t="shared" si="38"/>
        <v>Valid</v>
      </c>
      <c r="M254" s="16" t="str">
        <f t="shared" si="39"/>
        <v>Valid</v>
      </c>
      <c r="N254" s="17" t="str">
        <f t="shared" si="40"/>
        <v>Stable/Reducing</v>
      </c>
      <c r="O254" s="16">
        <f t="shared" si="41"/>
        <v>1.166089965397924</v>
      </c>
      <c r="P254" s="14">
        <f t="shared" si="43"/>
        <v>8505.4285714285706</v>
      </c>
      <c r="Q254" s="16">
        <f t="shared" si="42"/>
        <v>2918.4580782596145</v>
      </c>
    </row>
    <row r="255" spans="1:17" x14ac:dyDescent="0.3">
      <c r="A255" s="13">
        <v>45326</v>
      </c>
      <c r="B255" s="13" t="str">
        <f t="shared" si="33"/>
        <v>February</v>
      </c>
      <c r="C255" s="13" t="str">
        <f t="shared" si="34"/>
        <v>2024-02</v>
      </c>
      <c r="D255" s="8">
        <v>253</v>
      </c>
      <c r="E255" s="8">
        <v>531</v>
      </c>
      <c r="F255" s="8">
        <v>248</v>
      </c>
      <c r="G255" s="8">
        <v>7813</v>
      </c>
      <c r="H255" s="8">
        <v>342</v>
      </c>
      <c r="I255" s="14">
        <f t="shared" si="35"/>
        <v>8344</v>
      </c>
      <c r="J255" s="14">
        <f t="shared" si="36"/>
        <v>-94</v>
      </c>
      <c r="K255" s="15">
        <f t="shared" si="37"/>
        <v>-7.1907957813998084E-4</v>
      </c>
      <c r="L255" s="16" t="str">
        <f t="shared" si="38"/>
        <v>Valid</v>
      </c>
      <c r="M255" s="16" t="str">
        <f t="shared" si="39"/>
        <v>Valid</v>
      </c>
      <c r="N255" s="17" t="str">
        <f t="shared" si="40"/>
        <v>Stable/Reducing</v>
      </c>
      <c r="O255" s="16">
        <f t="shared" si="41"/>
        <v>1.3790322580645162</v>
      </c>
      <c r="P255" s="14">
        <f t="shared" si="43"/>
        <v>8510.7142857142862</v>
      </c>
      <c r="Q255" s="16">
        <f t="shared" si="42"/>
        <v>2918.4580782596145</v>
      </c>
    </row>
    <row r="256" spans="1:17" x14ac:dyDescent="0.3">
      <c r="A256" s="13">
        <v>45327</v>
      </c>
      <c r="B256" s="13" t="str">
        <f t="shared" si="33"/>
        <v>February</v>
      </c>
      <c r="C256" s="13" t="str">
        <f t="shared" si="34"/>
        <v>2024-02</v>
      </c>
      <c r="D256" s="8">
        <v>157</v>
      </c>
      <c r="E256" s="8">
        <v>466</v>
      </c>
      <c r="F256" s="8">
        <v>345</v>
      </c>
      <c r="G256" s="8">
        <v>7872</v>
      </c>
      <c r="H256" s="8">
        <v>242</v>
      </c>
      <c r="I256" s="14">
        <f t="shared" si="35"/>
        <v>8338</v>
      </c>
      <c r="J256" s="14">
        <f t="shared" si="36"/>
        <v>103</v>
      </c>
      <c r="K256" s="15">
        <f t="shared" si="37"/>
        <v>1.9429119692971935E-2</v>
      </c>
      <c r="L256" s="16" t="str">
        <f t="shared" si="38"/>
        <v>Valid</v>
      </c>
      <c r="M256" s="16" t="str">
        <f t="shared" si="39"/>
        <v>Valid</v>
      </c>
      <c r="N256" s="17" t="str">
        <f t="shared" si="40"/>
        <v>Increasing Pressure</v>
      </c>
      <c r="O256" s="16">
        <f t="shared" si="41"/>
        <v>0.70144927536231882</v>
      </c>
      <c r="P256" s="14">
        <f t="shared" si="43"/>
        <v>8564</v>
      </c>
      <c r="Q256" s="16">
        <f t="shared" si="42"/>
        <v>2918.4580782596145</v>
      </c>
    </row>
    <row r="257" spans="1:17" x14ac:dyDescent="0.3">
      <c r="A257" s="13">
        <v>45328</v>
      </c>
      <c r="B257" s="13" t="str">
        <f t="shared" si="33"/>
        <v>February</v>
      </c>
      <c r="C257" s="13" t="str">
        <f t="shared" si="34"/>
        <v>2024-02</v>
      </c>
      <c r="D257" s="8">
        <v>291</v>
      </c>
      <c r="E257" s="8">
        <v>455</v>
      </c>
      <c r="F257" s="8">
        <v>323</v>
      </c>
      <c r="G257" s="8">
        <v>8045</v>
      </c>
      <c r="H257" s="8">
        <v>178</v>
      </c>
      <c r="I257" s="14">
        <f t="shared" si="35"/>
        <v>8500</v>
      </c>
      <c r="J257" s="14">
        <f t="shared" si="36"/>
        <v>145</v>
      </c>
      <c r="K257" s="15">
        <f t="shared" si="37"/>
        <v>1.3294117647058824E-2</v>
      </c>
      <c r="L257" s="16" t="str">
        <f t="shared" si="38"/>
        <v>Valid</v>
      </c>
      <c r="M257" s="16" t="str">
        <f t="shared" si="39"/>
        <v>Valid</v>
      </c>
      <c r="N257" s="17" t="str">
        <f t="shared" si="40"/>
        <v>Increasing Pressure</v>
      </c>
      <c r="O257" s="16">
        <f t="shared" si="41"/>
        <v>0.55108359133126938</v>
      </c>
      <c r="P257" s="14">
        <f t="shared" si="43"/>
        <v>8634.8571428571431</v>
      </c>
      <c r="Q257" s="16">
        <f t="shared" si="42"/>
        <v>2918.4580782596145</v>
      </c>
    </row>
    <row r="258" spans="1:17" x14ac:dyDescent="0.3">
      <c r="A258" s="13">
        <v>45329</v>
      </c>
      <c r="B258" s="13" t="str">
        <f t="shared" ref="B258:B321" si="44">TEXT(A258, "mmmm")</f>
        <v>February</v>
      </c>
      <c r="C258" s="13" t="str">
        <f t="shared" ref="C258:C321" si="45">TEXT(A258, "yyyy-mm")</f>
        <v>2024-02</v>
      </c>
      <c r="D258" s="8">
        <v>227</v>
      </c>
      <c r="E258" s="8">
        <v>453</v>
      </c>
      <c r="F258" s="8">
        <v>330</v>
      </c>
      <c r="G258" s="8">
        <v>8160</v>
      </c>
      <c r="H258" s="8">
        <v>222</v>
      </c>
      <c r="I258" s="14">
        <f t="shared" ref="I258:I321" si="46">SUM(G258+E258)</f>
        <v>8613</v>
      </c>
      <c r="J258" s="14">
        <f t="shared" ref="J258:J321" si="47">F258-H258</f>
        <v>108</v>
      </c>
      <c r="K258" s="15">
        <f t="shared" ref="K258:K321" si="48">(I259-I258)/I258</f>
        <v>8.5916637640775576E-3</v>
      </c>
      <c r="L258" s="16" t="str">
        <f t="shared" ref="L258:L321" si="49">IF(F258&lt;=E258, "Valid", "Invalid")</f>
        <v>Valid</v>
      </c>
      <c r="M258" s="16" t="str">
        <f t="shared" ref="M258:M321" si="50">IF(H258&lt;=G258, "Valid", "Invalid")</f>
        <v>Valid</v>
      </c>
      <c r="N258" s="17" t="str">
        <f t="shared" ref="N258:N321" si="51">IF(J258&gt;0, "Increasing Pressure", "Stable/Reducing")</f>
        <v>Increasing Pressure</v>
      </c>
      <c r="O258" s="16">
        <f t="shared" ref="O258:O321" si="52">IFERROR(H258/F258, 0)</f>
        <v>0.67272727272727273</v>
      </c>
      <c r="P258" s="14">
        <f t="shared" si="43"/>
        <v>8702.1428571428569</v>
      </c>
      <c r="Q258" s="16">
        <f t="shared" ref="Q258:Q321" si="53">_xlfn.STDEV.S(I:I)</f>
        <v>2918.4580782596145</v>
      </c>
    </row>
    <row r="259" spans="1:17" x14ac:dyDescent="0.3">
      <c r="A259" s="13">
        <v>45330</v>
      </c>
      <c r="B259" s="13" t="str">
        <f t="shared" si="44"/>
        <v>February</v>
      </c>
      <c r="C259" s="13" t="str">
        <f t="shared" si="45"/>
        <v>2024-02</v>
      </c>
      <c r="D259" s="8">
        <v>298</v>
      </c>
      <c r="E259" s="8">
        <v>499</v>
      </c>
      <c r="F259" s="8">
        <v>358</v>
      </c>
      <c r="G259" s="8">
        <v>8188</v>
      </c>
      <c r="H259" s="8">
        <v>315</v>
      </c>
      <c r="I259" s="14">
        <f t="shared" si="46"/>
        <v>8687</v>
      </c>
      <c r="J259" s="14">
        <f t="shared" si="47"/>
        <v>43</v>
      </c>
      <c r="K259" s="15">
        <f t="shared" si="48"/>
        <v>-1.3353286520087488E-2</v>
      </c>
      <c r="L259" s="16" t="str">
        <f t="shared" si="49"/>
        <v>Valid</v>
      </c>
      <c r="M259" s="16" t="str">
        <f t="shared" si="50"/>
        <v>Valid</v>
      </c>
      <c r="N259" s="17" t="str">
        <f t="shared" si="51"/>
        <v>Increasing Pressure</v>
      </c>
      <c r="O259" s="16">
        <f t="shared" si="52"/>
        <v>0.87988826815642462</v>
      </c>
      <c r="P259" s="14">
        <f t="shared" ref="P259:P322" si="54">AVERAGE(I259:I265)</f>
        <v>8728.8571428571431</v>
      </c>
      <c r="Q259" s="16">
        <f t="shared" si="53"/>
        <v>2918.4580782596145</v>
      </c>
    </row>
    <row r="260" spans="1:17" x14ac:dyDescent="0.3">
      <c r="A260" s="13">
        <v>45333</v>
      </c>
      <c r="B260" s="13" t="str">
        <f t="shared" si="44"/>
        <v>February</v>
      </c>
      <c r="C260" s="13" t="str">
        <f t="shared" si="45"/>
        <v>2024-02</v>
      </c>
      <c r="D260" s="8">
        <v>205</v>
      </c>
      <c r="E260" s="8">
        <v>515</v>
      </c>
      <c r="F260" s="8">
        <v>226</v>
      </c>
      <c r="G260" s="8">
        <v>8056</v>
      </c>
      <c r="H260" s="8">
        <v>347</v>
      </c>
      <c r="I260" s="14">
        <f t="shared" si="46"/>
        <v>8571</v>
      </c>
      <c r="J260" s="14">
        <f t="shared" si="47"/>
        <v>-121</v>
      </c>
      <c r="K260" s="15">
        <f t="shared" si="48"/>
        <v>-5.7169525142923812E-3</v>
      </c>
      <c r="L260" s="16" t="str">
        <f t="shared" si="49"/>
        <v>Valid</v>
      </c>
      <c r="M260" s="16" t="str">
        <f t="shared" si="50"/>
        <v>Valid</v>
      </c>
      <c r="N260" s="17" t="str">
        <f t="shared" si="51"/>
        <v>Stable/Reducing</v>
      </c>
      <c r="O260" s="16">
        <f t="shared" si="52"/>
        <v>1.5353982300884956</v>
      </c>
      <c r="P260" s="14">
        <f t="shared" si="54"/>
        <v>8756.8571428571431</v>
      </c>
      <c r="Q260" s="16">
        <f t="shared" si="53"/>
        <v>2918.4580782596145</v>
      </c>
    </row>
    <row r="261" spans="1:17" x14ac:dyDescent="0.3">
      <c r="A261" s="13">
        <v>45334</v>
      </c>
      <c r="B261" s="13" t="str">
        <f t="shared" si="44"/>
        <v>February</v>
      </c>
      <c r="C261" s="13" t="str">
        <f t="shared" si="45"/>
        <v>2024-02</v>
      </c>
      <c r="D261" s="8">
        <v>213</v>
      </c>
      <c r="E261" s="8">
        <v>430</v>
      </c>
      <c r="F261" s="8">
        <v>440</v>
      </c>
      <c r="G261" s="8">
        <v>8092</v>
      </c>
      <c r="H261" s="8">
        <v>234</v>
      </c>
      <c r="I261" s="14">
        <f t="shared" si="46"/>
        <v>8522</v>
      </c>
      <c r="J261" s="14">
        <f t="shared" si="47"/>
        <v>206</v>
      </c>
      <c r="K261" s="15">
        <f t="shared" si="48"/>
        <v>2.2881952593287961E-2</v>
      </c>
      <c r="L261" s="16" t="str">
        <f t="shared" si="49"/>
        <v>Invalid</v>
      </c>
      <c r="M261" s="16" t="str">
        <f t="shared" si="50"/>
        <v>Valid</v>
      </c>
      <c r="N261" s="17" t="str">
        <f t="shared" si="51"/>
        <v>Increasing Pressure</v>
      </c>
      <c r="O261" s="16">
        <f t="shared" si="52"/>
        <v>0.53181818181818186</v>
      </c>
      <c r="P261" s="14">
        <f t="shared" si="54"/>
        <v>8818.5714285714294</v>
      </c>
      <c r="Q261" s="16">
        <f t="shared" si="53"/>
        <v>2918.4580782596145</v>
      </c>
    </row>
    <row r="262" spans="1:17" x14ac:dyDescent="0.3">
      <c r="A262" s="13">
        <v>45335</v>
      </c>
      <c r="B262" s="13" t="str">
        <f t="shared" si="44"/>
        <v>February</v>
      </c>
      <c r="C262" s="13" t="str">
        <f t="shared" si="45"/>
        <v>2024-02</v>
      </c>
      <c r="D262" s="8">
        <v>227</v>
      </c>
      <c r="E262" s="8">
        <v>369</v>
      </c>
      <c r="F262" s="8">
        <v>349</v>
      </c>
      <c r="G262" s="8">
        <v>8348</v>
      </c>
      <c r="H262" s="8">
        <v>160</v>
      </c>
      <c r="I262" s="14">
        <f t="shared" si="46"/>
        <v>8717</v>
      </c>
      <c r="J262" s="14">
        <f t="shared" si="47"/>
        <v>189</v>
      </c>
      <c r="K262" s="15">
        <f t="shared" si="48"/>
        <v>1.3422048870024092E-2</v>
      </c>
      <c r="L262" s="16" t="str">
        <f t="shared" si="49"/>
        <v>Valid</v>
      </c>
      <c r="M262" s="16" t="str">
        <f t="shared" si="50"/>
        <v>Valid</v>
      </c>
      <c r="N262" s="17" t="str">
        <f t="shared" si="51"/>
        <v>Increasing Pressure</v>
      </c>
      <c r="O262" s="16">
        <f t="shared" si="52"/>
        <v>0.45845272206303728</v>
      </c>
      <c r="P262" s="14">
        <f t="shared" si="54"/>
        <v>8887.8571428571431</v>
      </c>
      <c r="Q262" s="16">
        <f t="shared" si="53"/>
        <v>2918.4580782596145</v>
      </c>
    </row>
    <row r="263" spans="1:17" x14ac:dyDescent="0.3">
      <c r="A263" s="13">
        <v>45336</v>
      </c>
      <c r="B263" s="13" t="str">
        <f t="shared" si="44"/>
        <v>February</v>
      </c>
      <c r="C263" s="13" t="str">
        <f t="shared" si="45"/>
        <v>2024-02</v>
      </c>
      <c r="D263" s="8">
        <v>185</v>
      </c>
      <c r="E263" s="8">
        <v>322</v>
      </c>
      <c r="F263" s="8">
        <v>272</v>
      </c>
      <c r="G263" s="8">
        <v>8512</v>
      </c>
      <c r="H263" s="8">
        <v>230</v>
      </c>
      <c r="I263" s="14">
        <f t="shared" si="46"/>
        <v>8834</v>
      </c>
      <c r="J263" s="14">
        <f t="shared" si="47"/>
        <v>42</v>
      </c>
      <c r="K263" s="15">
        <f t="shared" si="48"/>
        <v>1.550826352728096E-2</v>
      </c>
      <c r="L263" s="16" t="str">
        <f t="shared" si="49"/>
        <v>Valid</v>
      </c>
      <c r="M263" s="16" t="str">
        <f t="shared" si="50"/>
        <v>Valid</v>
      </c>
      <c r="N263" s="17" t="str">
        <f t="shared" si="51"/>
        <v>Increasing Pressure</v>
      </c>
      <c r="O263" s="16">
        <f t="shared" si="52"/>
        <v>0.84558823529411764</v>
      </c>
      <c r="P263" s="14">
        <f t="shared" si="54"/>
        <v>8912</v>
      </c>
      <c r="Q263" s="16">
        <f t="shared" si="53"/>
        <v>2918.4580782596145</v>
      </c>
    </row>
    <row r="264" spans="1:17" x14ac:dyDescent="0.3">
      <c r="A264" s="13">
        <v>45337</v>
      </c>
      <c r="B264" s="13" t="str">
        <f t="shared" si="44"/>
        <v>February</v>
      </c>
      <c r="C264" s="13" t="str">
        <f t="shared" si="45"/>
        <v>2024-02</v>
      </c>
      <c r="D264" s="8">
        <v>333</v>
      </c>
      <c r="E264" s="8">
        <v>508</v>
      </c>
      <c r="F264" s="8">
        <v>272</v>
      </c>
      <c r="G264" s="8">
        <v>8463</v>
      </c>
      <c r="H264" s="8">
        <v>312</v>
      </c>
      <c r="I264" s="14">
        <f t="shared" si="46"/>
        <v>8971</v>
      </c>
      <c r="J264" s="14">
        <f t="shared" si="47"/>
        <v>-40</v>
      </c>
      <c r="K264" s="15">
        <f t="shared" si="48"/>
        <v>-1.9061420131534945E-2</v>
      </c>
      <c r="L264" s="16" t="str">
        <f t="shared" si="49"/>
        <v>Valid</v>
      </c>
      <c r="M264" s="16" t="str">
        <f t="shared" si="50"/>
        <v>Valid</v>
      </c>
      <c r="N264" s="17" t="str">
        <f t="shared" si="51"/>
        <v>Stable/Reducing</v>
      </c>
      <c r="O264" s="16">
        <f t="shared" si="52"/>
        <v>1.1470588235294117</v>
      </c>
      <c r="P264" s="14">
        <f t="shared" si="54"/>
        <v>8913.1428571428569</v>
      </c>
      <c r="Q264" s="16">
        <f t="shared" si="53"/>
        <v>2918.4580782596145</v>
      </c>
    </row>
    <row r="265" spans="1:17" x14ac:dyDescent="0.3">
      <c r="A265" s="13">
        <v>45341</v>
      </c>
      <c r="B265" s="13" t="str">
        <f t="shared" si="44"/>
        <v>February</v>
      </c>
      <c r="C265" s="13" t="str">
        <f t="shared" si="45"/>
        <v>2024-02</v>
      </c>
      <c r="D265" s="8">
        <v>249</v>
      </c>
      <c r="E265" s="8">
        <v>420</v>
      </c>
      <c r="F265" s="8">
        <v>371</v>
      </c>
      <c r="G265" s="8">
        <v>8380</v>
      </c>
      <c r="H265" s="8">
        <v>218</v>
      </c>
      <c r="I265" s="14">
        <f t="shared" si="46"/>
        <v>8800</v>
      </c>
      <c r="J265" s="14">
        <f t="shared" si="47"/>
        <v>153</v>
      </c>
      <c r="K265" s="15">
        <f t="shared" si="48"/>
        <v>9.4318181818181818E-3</v>
      </c>
      <c r="L265" s="16" t="str">
        <f t="shared" si="49"/>
        <v>Valid</v>
      </c>
      <c r="M265" s="16" t="str">
        <f t="shared" si="50"/>
        <v>Valid</v>
      </c>
      <c r="N265" s="17" t="str">
        <f t="shared" si="51"/>
        <v>Increasing Pressure</v>
      </c>
      <c r="O265" s="16">
        <f t="shared" si="52"/>
        <v>0.58760107816711593</v>
      </c>
      <c r="P265" s="14">
        <f t="shared" si="54"/>
        <v>8920</v>
      </c>
      <c r="Q265" s="16">
        <f t="shared" si="53"/>
        <v>2918.4580782596145</v>
      </c>
    </row>
    <row r="266" spans="1:17" x14ac:dyDescent="0.3">
      <c r="A266" s="13">
        <v>45342</v>
      </c>
      <c r="B266" s="13" t="str">
        <f t="shared" si="44"/>
        <v>February</v>
      </c>
      <c r="C266" s="13" t="str">
        <f t="shared" si="45"/>
        <v>2024-02</v>
      </c>
      <c r="D266" s="8">
        <v>149</v>
      </c>
      <c r="E266" s="8">
        <v>395</v>
      </c>
      <c r="F266" s="8">
        <v>273</v>
      </c>
      <c r="G266" s="8">
        <v>8488</v>
      </c>
      <c r="H266" s="8">
        <v>192</v>
      </c>
      <c r="I266" s="14">
        <f t="shared" si="46"/>
        <v>8883</v>
      </c>
      <c r="J266" s="14">
        <f t="shared" si="47"/>
        <v>81</v>
      </c>
      <c r="K266" s="15">
        <f t="shared" si="48"/>
        <v>1.3508949679162444E-2</v>
      </c>
      <c r="L266" s="16" t="str">
        <f t="shared" si="49"/>
        <v>Valid</v>
      </c>
      <c r="M266" s="16" t="str">
        <f t="shared" si="50"/>
        <v>Valid</v>
      </c>
      <c r="N266" s="17" t="str">
        <f t="shared" si="51"/>
        <v>Increasing Pressure</v>
      </c>
      <c r="O266" s="16">
        <f t="shared" si="52"/>
        <v>0.70329670329670335</v>
      </c>
      <c r="P266" s="14">
        <f t="shared" si="54"/>
        <v>8969.4285714285706</v>
      </c>
      <c r="Q266" s="16">
        <f t="shared" si="53"/>
        <v>2918.4580782596145</v>
      </c>
    </row>
    <row r="267" spans="1:17" x14ac:dyDescent="0.3">
      <c r="A267" s="13">
        <v>45343</v>
      </c>
      <c r="B267" s="13" t="str">
        <f t="shared" si="44"/>
        <v>February</v>
      </c>
      <c r="C267" s="13" t="str">
        <f t="shared" si="45"/>
        <v>2024-02</v>
      </c>
      <c r="D267" s="8">
        <v>232</v>
      </c>
      <c r="E267" s="8">
        <v>430</v>
      </c>
      <c r="F267" s="8">
        <v>318</v>
      </c>
      <c r="G267" s="8">
        <v>8573</v>
      </c>
      <c r="H267" s="8">
        <v>231</v>
      </c>
      <c r="I267" s="14">
        <f t="shared" si="46"/>
        <v>9003</v>
      </c>
      <c r="J267" s="14">
        <f t="shared" si="47"/>
        <v>87</v>
      </c>
      <c r="K267" s="15">
        <f t="shared" si="48"/>
        <v>4.442963456625569E-4</v>
      </c>
      <c r="L267" s="16" t="str">
        <f t="shared" si="49"/>
        <v>Valid</v>
      </c>
      <c r="M267" s="16" t="str">
        <f t="shared" si="50"/>
        <v>Valid</v>
      </c>
      <c r="N267" s="17" t="str">
        <f t="shared" si="51"/>
        <v>Increasing Pressure</v>
      </c>
      <c r="O267" s="16">
        <f t="shared" si="52"/>
        <v>0.72641509433962259</v>
      </c>
      <c r="P267" s="14">
        <f t="shared" si="54"/>
        <v>9010.1428571428569</v>
      </c>
      <c r="Q267" s="16">
        <f t="shared" si="53"/>
        <v>2918.4580782596145</v>
      </c>
    </row>
    <row r="268" spans="1:17" x14ac:dyDescent="0.3">
      <c r="A268" s="13">
        <v>45344</v>
      </c>
      <c r="B268" s="13" t="str">
        <f t="shared" si="44"/>
        <v>February</v>
      </c>
      <c r="C268" s="13" t="str">
        <f t="shared" si="45"/>
        <v>2024-02</v>
      </c>
      <c r="D268" s="8">
        <v>165</v>
      </c>
      <c r="E268" s="8">
        <v>400</v>
      </c>
      <c r="F268" s="8">
        <v>292</v>
      </c>
      <c r="G268" s="8">
        <v>8607</v>
      </c>
      <c r="H268" s="8">
        <v>293</v>
      </c>
      <c r="I268" s="14">
        <f t="shared" si="46"/>
        <v>9007</v>
      </c>
      <c r="J268" s="14">
        <f t="shared" si="47"/>
        <v>-1</v>
      </c>
      <c r="K268" s="15">
        <f t="shared" si="48"/>
        <v>-1.3433995781059176E-2</v>
      </c>
      <c r="L268" s="16" t="str">
        <f t="shared" si="49"/>
        <v>Valid</v>
      </c>
      <c r="M268" s="16" t="str">
        <f t="shared" si="50"/>
        <v>Valid</v>
      </c>
      <c r="N268" s="17" t="str">
        <f t="shared" si="51"/>
        <v>Stable/Reducing</v>
      </c>
      <c r="O268" s="16">
        <f t="shared" si="52"/>
        <v>1.0034246575342465</v>
      </c>
      <c r="P268" s="14">
        <f t="shared" si="54"/>
        <v>9018.5714285714294</v>
      </c>
      <c r="Q268" s="16">
        <f t="shared" si="53"/>
        <v>2918.4580782596145</v>
      </c>
    </row>
    <row r="269" spans="1:17" x14ac:dyDescent="0.3">
      <c r="A269" s="13">
        <v>45347</v>
      </c>
      <c r="B269" s="13" t="str">
        <f t="shared" si="44"/>
        <v>February</v>
      </c>
      <c r="C269" s="13" t="str">
        <f t="shared" si="45"/>
        <v>2024-02</v>
      </c>
      <c r="D269" s="8">
        <v>244</v>
      </c>
      <c r="E269" s="8">
        <v>482</v>
      </c>
      <c r="F269" s="8">
        <v>366</v>
      </c>
      <c r="G269" s="8">
        <v>8404</v>
      </c>
      <c r="H269" s="8">
        <v>329</v>
      </c>
      <c r="I269" s="14">
        <f t="shared" si="46"/>
        <v>8886</v>
      </c>
      <c r="J269" s="14">
        <f t="shared" si="47"/>
        <v>37</v>
      </c>
      <c r="K269" s="15">
        <f t="shared" si="48"/>
        <v>-4.9516092730137297E-3</v>
      </c>
      <c r="L269" s="16" t="str">
        <f t="shared" si="49"/>
        <v>Valid</v>
      </c>
      <c r="M269" s="16" t="str">
        <f t="shared" si="50"/>
        <v>Valid</v>
      </c>
      <c r="N269" s="17" t="str">
        <f t="shared" si="51"/>
        <v>Increasing Pressure</v>
      </c>
      <c r="O269" s="16">
        <f t="shared" si="52"/>
        <v>0.89890710382513661</v>
      </c>
      <c r="P269" s="14">
        <f t="shared" si="54"/>
        <v>9041.7142857142862</v>
      </c>
      <c r="Q269" s="16">
        <f t="shared" si="53"/>
        <v>2918.4580782596145</v>
      </c>
    </row>
    <row r="270" spans="1:17" x14ac:dyDescent="0.3">
      <c r="A270" s="13">
        <v>45348</v>
      </c>
      <c r="B270" s="13" t="str">
        <f t="shared" si="44"/>
        <v>February</v>
      </c>
      <c r="C270" s="13" t="str">
        <f t="shared" si="45"/>
        <v>2024-02</v>
      </c>
      <c r="D270" s="8">
        <v>199</v>
      </c>
      <c r="E270" s="8">
        <v>438</v>
      </c>
      <c r="F270" s="8">
        <v>326</v>
      </c>
      <c r="G270" s="8">
        <v>8404</v>
      </c>
      <c r="H270" s="8">
        <v>329</v>
      </c>
      <c r="I270" s="14">
        <f t="shared" si="46"/>
        <v>8842</v>
      </c>
      <c r="J270" s="14">
        <f t="shared" si="47"/>
        <v>-3</v>
      </c>
      <c r="K270" s="15">
        <f t="shared" si="48"/>
        <v>2.0018095453517303E-2</v>
      </c>
      <c r="L270" s="16" t="str">
        <f t="shared" si="49"/>
        <v>Valid</v>
      </c>
      <c r="M270" s="16" t="str">
        <f t="shared" si="50"/>
        <v>Valid</v>
      </c>
      <c r="N270" s="17" t="str">
        <f t="shared" si="51"/>
        <v>Stable/Reducing</v>
      </c>
      <c r="O270" s="16">
        <f t="shared" si="52"/>
        <v>1.00920245398773</v>
      </c>
      <c r="P270" s="14">
        <f t="shared" si="54"/>
        <v>9096.8571428571431</v>
      </c>
      <c r="Q270" s="16">
        <f t="shared" si="53"/>
        <v>2918.4580782596145</v>
      </c>
    </row>
    <row r="271" spans="1:17" x14ac:dyDescent="0.3">
      <c r="A271" s="13">
        <v>45349</v>
      </c>
      <c r="B271" s="13" t="str">
        <f t="shared" si="44"/>
        <v>February</v>
      </c>
      <c r="C271" s="13" t="str">
        <f t="shared" si="45"/>
        <v>2024-02</v>
      </c>
      <c r="D271" s="8">
        <v>197</v>
      </c>
      <c r="E271" s="8">
        <v>369</v>
      </c>
      <c r="F271" s="8">
        <v>306</v>
      </c>
      <c r="G271" s="8">
        <v>8650</v>
      </c>
      <c r="H271" s="8">
        <v>206</v>
      </c>
      <c r="I271" s="14">
        <f t="shared" si="46"/>
        <v>9019</v>
      </c>
      <c r="J271" s="14">
        <f t="shared" si="47"/>
        <v>100</v>
      </c>
      <c r="K271" s="15">
        <f t="shared" si="48"/>
        <v>1.4081383745426322E-2</v>
      </c>
      <c r="L271" s="16" t="str">
        <f t="shared" si="49"/>
        <v>Valid</v>
      </c>
      <c r="M271" s="16" t="str">
        <f t="shared" si="50"/>
        <v>Valid</v>
      </c>
      <c r="N271" s="17" t="str">
        <f t="shared" si="51"/>
        <v>Increasing Pressure</v>
      </c>
      <c r="O271" s="16">
        <f t="shared" si="52"/>
        <v>0.67320261437908502</v>
      </c>
      <c r="P271" s="14">
        <f t="shared" si="54"/>
        <v>9166.1428571428569</v>
      </c>
      <c r="Q271" s="16">
        <f t="shared" si="53"/>
        <v>2918.4580782596145</v>
      </c>
    </row>
    <row r="272" spans="1:17" x14ac:dyDescent="0.3">
      <c r="A272" s="13">
        <v>45350</v>
      </c>
      <c r="B272" s="13" t="str">
        <f t="shared" si="44"/>
        <v>February</v>
      </c>
      <c r="C272" s="13" t="str">
        <f t="shared" si="45"/>
        <v>2024-02</v>
      </c>
      <c r="D272" s="8">
        <v>209</v>
      </c>
      <c r="E272" s="8">
        <v>447</v>
      </c>
      <c r="F272" s="8">
        <v>274</v>
      </c>
      <c r="G272" s="8">
        <v>8699</v>
      </c>
      <c r="H272" s="8">
        <v>257</v>
      </c>
      <c r="I272" s="14">
        <f t="shared" si="46"/>
        <v>9146</v>
      </c>
      <c r="J272" s="14">
        <f t="shared" si="47"/>
        <v>17</v>
      </c>
      <c r="K272" s="15">
        <f t="shared" si="48"/>
        <v>2.4054231357970696E-3</v>
      </c>
      <c r="L272" s="16" t="str">
        <f t="shared" si="49"/>
        <v>Valid</v>
      </c>
      <c r="M272" s="16" t="str">
        <f t="shared" si="50"/>
        <v>Valid</v>
      </c>
      <c r="N272" s="17" t="str">
        <f t="shared" si="51"/>
        <v>Increasing Pressure</v>
      </c>
      <c r="O272" s="16">
        <f t="shared" si="52"/>
        <v>0.93795620437956206</v>
      </c>
      <c r="P272" s="14">
        <f t="shared" si="54"/>
        <v>9210</v>
      </c>
      <c r="Q272" s="16">
        <f t="shared" si="53"/>
        <v>2918.4580782596145</v>
      </c>
    </row>
    <row r="273" spans="1:17" x14ac:dyDescent="0.3">
      <c r="A273" s="13">
        <v>45351</v>
      </c>
      <c r="B273" s="13" t="str">
        <f t="shared" si="44"/>
        <v>February</v>
      </c>
      <c r="C273" s="13" t="str">
        <f t="shared" si="45"/>
        <v>2024-02</v>
      </c>
      <c r="D273" s="8">
        <v>262</v>
      </c>
      <c r="E273" s="8">
        <v>444</v>
      </c>
      <c r="F273" s="8">
        <v>354</v>
      </c>
      <c r="G273" s="8">
        <v>8724</v>
      </c>
      <c r="H273" s="8">
        <v>299</v>
      </c>
      <c r="I273" s="14">
        <f t="shared" si="46"/>
        <v>9168</v>
      </c>
      <c r="J273" s="14">
        <f t="shared" si="47"/>
        <v>55</v>
      </c>
      <c r="K273" s="15">
        <f t="shared" si="48"/>
        <v>-1.1561954624781851E-2</v>
      </c>
      <c r="L273" s="16" t="str">
        <f t="shared" si="49"/>
        <v>Valid</v>
      </c>
      <c r="M273" s="16" t="str">
        <f t="shared" si="50"/>
        <v>Valid</v>
      </c>
      <c r="N273" s="17" t="str">
        <f t="shared" si="51"/>
        <v>Increasing Pressure</v>
      </c>
      <c r="O273" s="16">
        <f t="shared" si="52"/>
        <v>0.84463276836158196</v>
      </c>
      <c r="P273" s="14">
        <f t="shared" si="54"/>
        <v>9200.8571428571431</v>
      </c>
      <c r="Q273" s="16">
        <f t="shared" si="53"/>
        <v>2918.4580782596145</v>
      </c>
    </row>
    <row r="274" spans="1:17" x14ac:dyDescent="0.3">
      <c r="A274" s="13">
        <v>45354</v>
      </c>
      <c r="B274" s="13" t="str">
        <f t="shared" si="44"/>
        <v>March</v>
      </c>
      <c r="C274" s="13" t="str">
        <f t="shared" si="45"/>
        <v>2024-03</v>
      </c>
      <c r="D274" s="8">
        <v>236</v>
      </c>
      <c r="E274" s="8">
        <v>468</v>
      </c>
      <c r="F274" s="8">
        <v>347</v>
      </c>
      <c r="G274" s="8">
        <v>8594</v>
      </c>
      <c r="H274" s="8">
        <v>354</v>
      </c>
      <c r="I274" s="14">
        <f t="shared" si="46"/>
        <v>9062</v>
      </c>
      <c r="J274" s="14">
        <f t="shared" si="47"/>
        <v>-7</v>
      </c>
      <c r="K274" s="15">
        <f t="shared" si="48"/>
        <v>1.1807548002648422E-2</v>
      </c>
      <c r="L274" s="16" t="str">
        <f t="shared" si="49"/>
        <v>Valid</v>
      </c>
      <c r="M274" s="16" t="str">
        <f t="shared" si="50"/>
        <v>Valid</v>
      </c>
      <c r="N274" s="17" t="str">
        <f t="shared" si="51"/>
        <v>Stable/Reducing</v>
      </c>
      <c r="O274" s="16">
        <f t="shared" si="52"/>
        <v>1.0201729106628241</v>
      </c>
      <c r="P274" s="14">
        <f t="shared" si="54"/>
        <v>9190.1428571428569</v>
      </c>
      <c r="Q274" s="16">
        <f t="shared" si="53"/>
        <v>2918.4580782596145</v>
      </c>
    </row>
    <row r="275" spans="1:17" x14ac:dyDescent="0.3">
      <c r="A275" s="13">
        <v>45355</v>
      </c>
      <c r="B275" s="13" t="str">
        <f t="shared" si="44"/>
        <v>March</v>
      </c>
      <c r="C275" s="13" t="str">
        <f t="shared" si="45"/>
        <v>2024-03</v>
      </c>
      <c r="D275" s="8">
        <v>225</v>
      </c>
      <c r="E275" s="8">
        <v>509</v>
      </c>
      <c r="F275" s="8">
        <v>340</v>
      </c>
      <c r="G275" s="8">
        <v>8660</v>
      </c>
      <c r="H275" s="8">
        <v>229</v>
      </c>
      <c r="I275" s="14">
        <f t="shared" si="46"/>
        <v>9169</v>
      </c>
      <c r="J275" s="14">
        <f t="shared" si="47"/>
        <v>111</v>
      </c>
      <c r="K275" s="15">
        <f t="shared" si="48"/>
        <v>1.1233504198931181E-2</v>
      </c>
      <c r="L275" s="16" t="str">
        <f t="shared" si="49"/>
        <v>Valid</v>
      </c>
      <c r="M275" s="16" t="str">
        <f t="shared" si="50"/>
        <v>Valid</v>
      </c>
      <c r="N275" s="17" t="str">
        <f t="shared" si="51"/>
        <v>Increasing Pressure</v>
      </c>
      <c r="O275" s="16">
        <f t="shared" si="52"/>
        <v>0.67352941176470593</v>
      </c>
      <c r="P275" s="14">
        <f t="shared" si="54"/>
        <v>9200.8571428571431</v>
      </c>
      <c r="Q275" s="16">
        <f t="shared" si="53"/>
        <v>2918.4580782596145</v>
      </c>
    </row>
    <row r="276" spans="1:17" x14ac:dyDescent="0.3">
      <c r="A276" s="13">
        <v>45356</v>
      </c>
      <c r="B276" s="13" t="str">
        <f t="shared" si="44"/>
        <v>March</v>
      </c>
      <c r="C276" s="13" t="str">
        <f t="shared" si="45"/>
        <v>2024-03</v>
      </c>
      <c r="D276" s="8">
        <v>246</v>
      </c>
      <c r="E276" s="8">
        <v>472</v>
      </c>
      <c r="F276" s="8">
        <v>345</v>
      </c>
      <c r="G276" s="8">
        <v>8800</v>
      </c>
      <c r="H276" s="8">
        <v>214</v>
      </c>
      <c r="I276" s="14">
        <f t="shared" si="46"/>
        <v>9272</v>
      </c>
      <c r="J276" s="14">
        <f t="shared" si="47"/>
        <v>131</v>
      </c>
      <c r="K276" s="15">
        <f t="shared" si="48"/>
        <v>5.9318377911993098E-3</v>
      </c>
      <c r="L276" s="16" t="str">
        <f t="shared" si="49"/>
        <v>Valid</v>
      </c>
      <c r="M276" s="16" t="str">
        <f t="shared" si="50"/>
        <v>Valid</v>
      </c>
      <c r="N276" s="17" t="str">
        <f t="shared" si="51"/>
        <v>Increasing Pressure</v>
      </c>
      <c r="O276" s="16">
        <f t="shared" si="52"/>
        <v>0.62028985507246381</v>
      </c>
      <c r="P276" s="14">
        <f t="shared" si="54"/>
        <v>9202</v>
      </c>
      <c r="Q276" s="16">
        <f t="shared" si="53"/>
        <v>2918.4580782596145</v>
      </c>
    </row>
    <row r="277" spans="1:17" x14ac:dyDescent="0.3">
      <c r="A277" s="13">
        <v>45357</v>
      </c>
      <c r="B277" s="13" t="str">
        <f t="shared" si="44"/>
        <v>March</v>
      </c>
      <c r="C277" s="13" t="str">
        <f t="shared" si="45"/>
        <v>2024-03</v>
      </c>
      <c r="D277" s="8">
        <v>230</v>
      </c>
      <c r="E277" s="8">
        <v>457</v>
      </c>
      <c r="F277" s="8">
        <v>277</v>
      </c>
      <c r="G277" s="8">
        <v>8870</v>
      </c>
      <c r="H277" s="8">
        <v>232</v>
      </c>
      <c r="I277" s="14">
        <f t="shared" si="46"/>
        <v>9327</v>
      </c>
      <c r="J277" s="14">
        <f t="shared" si="47"/>
        <v>45</v>
      </c>
      <c r="K277" s="15">
        <f t="shared" si="48"/>
        <v>-1.0721561059290233E-4</v>
      </c>
      <c r="L277" s="16" t="str">
        <f t="shared" si="49"/>
        <v>Valid</v>
      </c>
      <c r="M277" s="16" t="str">
        <f t="shared" si="50"/>
        <v>Valid</v>
      </c>
      <c r="N277" s="17" t="str">
        <f t="shared" si="51"/>
        <v>Increasing Pressure</v>
      </c>
      <c r="O277" s="16">
        <f t="shared" si="52"/>
        <v>0.83754512635379064</v>
      </c>
      <c r="P277" s="14">
        <f t="shared" si="54"/>
        <v>9162.5714285714294</v>
      </c>
      <c r="Q277" s="16">
        <f t="shared" si="53"/>
        <v>2918.4580782596145</v>
      </c>
    </row>
    <row r="278" spans="1:17" x14ac:dyDescent="0.3">
      <c r="A278" s="13">
        <v>45358</v>
      </c>
      <c r="B278" s="13" t="str">
        <f t="shared" si="44"/>
        <v>March</v>
      </c>
      <c r="C278" s="13" t="str">
        <f t="shared" si="45"/>
        <v>2024-03</v>
      </c>
      <c r="D278" s="8">
        <v>181</v>
      </c>
      <c r="E278" s="8">
        <v>424</v>
      </c>
      <c r="F278" s="8">
        <v>328</v>
      </c>
      <c r="G278" s="8">
        <v>8902</v>
      </c>
      <c r="H278" s="8">
        <v>305</v>
      </c>
      <c r="I278" s="14">
        <f t="shared" si="46"/>
        <v>9326</v>
      </c>
      <c r="J278" s="14">
        <f t="shared" si="47"/>
        <v>23</v>
      </c>
      <c r="K278" s="15">
        <f t="shared" si="48"/>
        <v>-2.6163414111087281E-2</v>
      </c>
      <c r="L278" s="16" t="str">
        <f t="shared" si="49"/>
        <v>Valid</v>
      </c>
      <c r="M278" s="16" t="str">
        <f t="shared" si="50"/>
        <v>Valid</v>
      </c>
      <c r="N278" s="17" t="str">
        <f t="shared" si="51"/>
        <v>Increasing Pressure</v>
      </c>
      <c r="O278" s="16">
        <f t="shared" si="52"/>
        <v>0.92987804878048785</v>
      </c>
      <c r="P278" s="14">
        <f t="shared" si="54"/>
        <v>9063.4285714285706</v>
      </c>
      <c r="Q278" s="16">
        <f t="shared" si="53"/>
        <v>2918.4580782596145</v>
      </c>
    </row>
    <row r="279" spans="1:17" x14ac:dyDescent="0.3">
      <c r="A279" s="13">
        <v>45361</v>
      </c>
      <c r="B279" s="13" t="str">
        <f t="shared" si="44"/>
        <v>March</v>
      </c>
      <c r="C279" s="13" t="str">
        <f t="shared" si="45"/>
        <v>2024-03</v>
      </c>
      <c r="D279" s="8">
        <v>190</v>
      </c>
      <c r="E279" s="8">
        <v>368</v>
      </c>
      <c r="F279" s="8">
        <v>326</v>
      </c>
      <c r="G279" s="8">
        <v>8714</v>
      </c>
      <c r="H279" s="8">
        <v>373</v>
      </c>
      <c r="I279" s="14">
        <f t="shared" si="46"/>
        <v>9082</v>
      </c>
      <c r="J279" s="14">
        <f t="shared" si="47"/>
        <v>-47</v>
      </c>
      <c r="K279" s="15">
        <f t="shared" si="48"/>
        <v>1.2111869632239595E-3</v>
      </c>
      <c r="L279" s="16" t="str">
        <f t="shared" si="49"/>
        <v>Valid</v>
      </c>
      <c r="M279" s="16" t="str">
        <f t="shared" si="50"/>
        <v>Valid</v>
      </c>
      <c r="N279" s="17" t="str">
        <f t="shared" si="51"/>
        <v>Stable/Reducing</v>
      </c>
      <c r="O279" s="16">
        <f t="shared" si="52"/>
        <v>1.1441717791411044</v>
      </c>
      <c r="P279" s="14">
        <f t="shared" si="54"/>
        <v>8956.2857142857138</v>
      </c>
      <c r="Q279" s="16">
        <f t="shared" si="53"/>
        <v>2918.4580782596145</v>
      </c>
    </row>
    <row r="280" spans="1:17" x14ac:dyDescent="0.3">
      <c r="A280" s="13">
        <v>45362</v>
      </c>
      <c r="B280" s="13" t="str">
        <f t="shared" si="44"/>
        <v>March</v>
      </c>
      <c r="C280" s="13" t="str">
        <f t="shared" si="45"/>
        <v>2024-03</v>
      </c>
      <c r="D280" s="8">
        <v>178</v>
      </c>
      <c r="E280" s="8">
        <v>336</v>
      </c>
      <c r="F280" s="8">
        <v>290</v>
      </c>
      <c r="G280" s="8">
        <v>8757</v>
      </c>
      <c r="H280" s="8">
        <v>253</v>
      </c>
      <c r="I280" s="14">
        <f t="shared" si="46"/>
        <v>9093</v>
      </c>
      <c r="J280" s="14">
        <f t="shared" si="47"/>
        <v>37</v>
      </c>
      <c r="K280" s="15">
        <f t="shared" si="48"/>
        <v>4.8388870559771249E-3</v>
      </c>
      <c r="L280" s="16" t="str">
        <f t="shared" si="49"/>
        <v>Valid</v>
      </c>
      <c r="M280" s="16" t="str">
        <f t="shared" si="50"/>
        <v>Valid</v>
      </c>
      <c r="N280" s="17" t="str">
        <f t="shared" si="51"/>
        <v>Increasing Pressure</v>
      </c>
      <c r="O280" s="16">
        <f t="shared" si="52"/>
        <v>0.87241379310344824</v>
      </c>
      <c r="P280" s="14">
        <f t="shared" si="54"/>
        <v>8886.2857142857138</v>
      </c>
      <c r="Q280" s="16">
        <f t="shared" si="53"/>
        <v>2918.4580782596145</v>
      </c>
    </row>
    <row r="281" spans="1:17" x14ac:dyDescent="0.3">
      <c r="A281" s="13">
        <v>45363</v>
      </c>
      <c r="B281" s="13" t="str">
        <f t="shared" si="44"/>
        <v>March</v>
      </c>
      <c r="C281" s="13" t="str">
        <f t="shared" si="45"/>
        <v>2024-03</v>
      </c>
      <c r="D281" s="8">
        <v>154</v>
      </c>
      <c r="E281" s="8">
        <v>294</v>
      </c>
      <c r="F281" s="8">
        <v>290</v>
      </c>
      <c r="G281" s="8">
        <v>8843</v>
      </c>
      <c r="H281" s="8">
        <v>213</v>
      </c>
      <c r="I281" s="14">
        <f t="shared" si="46"/>
        <v>9137</v>
      </c>
      <c r="J281" s="14">
        <f t="shared" si="47"/>
        <v>77</v>
      </c>
      <c r="K281" s="15">
        <f t="shared" si="48"/>
        <v>4.3778045310276896E-3</v>
      </c>
      <c r="L281" s="16" t="str">
        <f t="shared" si="49"/>
        <v>Valid</v>
      </c>
      <c r="M281" s="16" t="str">
        <f t="shared" si="50"/>
        <v>Valid</v>
      </c>
      <c r="N281" s="17" t="str">
        <f t="shared" si="51"/>
        <v>Increasing Pressure</v>
      </c>
      <c r="O281" s="16">
        <f t="shared" si="52"/>
        <v>0.73448275862068968</v>
      </c>
      <c r="P281" s="14">
        <f t="shared" si="54"/>
        <v>8808.1428571428569</v>
      </c>
      <c r="Q281" s="16">
        <f t="shared" si="53"/>
        <v>2918.4580782596145</v>
      </c>
    </row>
    <row r="282" spans="1:17" x14ac:dyDescent="0.3">
      <c r="A282" s="13">
        <v>45364</v>
      </c>
      <c r="B282" s="13" t="str">
        <f t="shared" si="44"/>
        <v>March</v>
      </c>
      <c r="C282" s="13" t="str">
        <f t="shared" si="45"/>
        <v>2024-03</v>
      </c>
      <c r="D282" s="8">
        <v>165</v>
      </c>
      <c r="E282" s="8">
        <v>358</v>
      </c>
      <c r="F282" s="8">
        <v>167</v>
      </c>
      <c r="G282" s="8">
        <v>8819</v>
      </c>
      <c r="H282" s="8">
        <v>239</v>
      </c>
      <c r="I282" s="14">
        <f t="shared" si="46"/>
        <v>9177</v>
      </c>
      <c r="J282" s="14">
        <f t="shared" si="47"/>
        <v>-72</v>
      </c>
      <c r="K282" s="15">
        <f t="shared" si="48"/>
        <v>-1.9723221096218806E-2</v>
      </c>
      <c r="L282" s="16" t="str">
        <f t="shared" si="49"/>
        <v>Valid</v>
      </c>
      <c r="M282" s="16" t="str">
        <f t="shared" si="50"/>
        <v>Valid</v>
      </c>
      <c r="N282" s="17" t="str">
        <f t="shared" si="51"/>
        <v>Stable/Reducing</v>
      </c>
      <c r="O282" s="16">
        <f t="shared" si="52"/>
        <v>1.4311377245508983</v>
      </c>
      <c r="P282" s="14">
        <f t="shared" si="54"/>
        <v>8724.7142857142862</v>
      </c>
      <c r="Q282" s="16">
        <f t="shared" si="53"/>
        <v>2918.4580782596145</v>
      </c>
    </row>
    <row r="283" spans="1:17" x14ac:dyDescent="0.3">
      <c r="A283" s="13">
        <v>45365</v>
      </c>
      <c r="B283" s="13" t="str">
        <f t="shared" si="44"/>
        <v>March</v>
      </c>
      <c r="C283" s="13" t="str">
        <f t="shared" si="45"/>
        <v>2024-03</v>
      </c>
      <c r="D283" s="8">
        <v>166</v>
      </c>
      <c r="E283" s="8">
        <v>301</v>
      </c>
      <c r="F283" s="8">
        <v>252</v>
      </c>
      <c r="G283" s="8">
        <v>8695</v>
      </c>
      <c r="H283" s="8">
        <v>310</v>
      </c>
      <c r="I283" s="14">
        <f t="shared" si="46"/>
        <v>8996</v>
      </c>
      <c r="J283" s="14">
        <f t="shared" si="47"/>
        <v>-58</v>
      </c>
      <c r="K283" s="15">
        <f t="shared" si="48"/>
        <v>-4.0351267229879945E-2</v>
      </c>
      <c r="L283" s="16" t="str">
        <f t="shared" si="49"/>
        <v>Valid</v>
      </c>
      <c r="M283" s="16" t="str">
        <f t="shared" si="50"/>
        <v>Valid</v>
      </c>
      <c r="N283" s="17" t="str">
        <f t="shared" si="51"/>
        <v>Stable/Reducing</v>
      </c>
      <c r="O283" s="16">
        <f t="shared" si="52"/>
        <v>1.2301587301587302</v>
      </c>
      <c r="P283" s="14">
        <f t="shared" si="54"/>
        <v>8579.8571428571431</v>
      </c>
      <c r="Q283" s="16">
        <f t="shared" si="53"/>
        <v>2918.4580782596145</v>
      </c>
    </row>
    <row r="284" spans="1:17" x14ac:dyDescent="0.3">
      <c r="A284" s="13">
        <v>45368</v>
      </c>
      <c r="B284" s="13" t="str">
        <f t="shared" si="44"/>
        <v>March</v>
      </c>
      <c r="C284" s="13" t="str">
        <f t="shared" si="45"/>
        <v>2024-03</v>
      </c>
      <c r="D284" s="8">
        <v>127</v>
      </c>
      <c r="E284" s="8">
        <v>260</v>
      </c>
      <c r="F284" s="8">
        <v>259</v>
      </c>
      <c r="G284" s="8">
        <v>8373</v>
      </c>
      <c r="H284" s="8">
        <v>342</v>
      </c>
      <c r="I284" s="14">
        <f t="shared" si="46"/>
        <v>8633</v>
      </c>
      <c r="J284" s="14">
        <f t="shared" si="47"/>
        <v>-83</v>
      </c>
      <c r="K284" s="15">
        <f t="shared" si="48"/>
        <v>-6.6025715278582187E-3</v>
      </c>
      <c r="L284" s="16" t="str">
        <f t="shared" si="49"/>
        <v>Valid</v>
      </c>
      <c r="M284" s="16" t="str">
        <f t="shared" si="50"/>
        <v>Valid</v>
      </c>
      <c r="N284" s="17" t="str">
        <f t="shared" si="51"/>
        <v>Stable/Reducing</v>
      </c>
      <c r="O284" s="16">
        <f t="shared" si="52"/>
        <v>1.3204633204633205</v>
      </c>
      <c r="P284" s="14">
        <f t="shared" si="54"/>
        <v>8457.7142857142862</v>
      </c>
      <c r="Q284" s="16">
        <f t="shared" si="53"/>
        <v>2918.4580782596145</v>
      </c>
    </row>
    <row r="285" spans="1:17" x14ac:dyDescent="0.3">
      <c r="A285" s="13">
        <v>45369</v>
      </c>
      <c r="B285" s="13" t="str">
        <f t="shared" si="44"/>
        <v>March</v>
      </c>
      <c r="C285" s="13" t="str">
        <f t="shared" si="45"/>
        <v>2024-03</v>
      </c>
      <c r="D285" s="8">
        <v>123</v>
      </c>
      <c r="E285" s="8">
        <v>243</v>
      </c>
      <c r="F285" s="8">
        <v>188</v>
      </c>
      <c r="G285" s="8">
        <v>8333</v>
      </c>
      <c r="H285" s="8">
        <v>283</v>
      </c>
      <c r="I285" s="14">
        <f t="shared" si="46"/>
        <v>8576</v>
      </c>
      <c r="J285" s="14">
        <f t="shared" si="47"/>
        <v>-95</v>
      </c>
      <c r="K285" s="15">
        <f t="shared" si="48"/>
        <v>1.8656716417910447E-3</v>
      </c>
      <c r="L285" s="16" t="str">
        <f t="shared" si="49"/>
        <v>Valid</v>
      </c>
      <c r="M285" s="16" t="str">
        <f t="shared" si="50"/>
        <v>Valid</v>
      </c>
      <c r="N285" s="17" t="str">
        <f t="shared" si="51"/>
        <v>Stable/Reducing</v>
      </c>
      <c r="O285" s="16">
        <f t="shared" si="52"/>
        <v>1.5053191489361701</v>
      </c>
      <c r="P285" s="14">
        <f t="shared" si="54"/>
        <v>8395.1428571428569</v>
      </c>
      <c r="Q285" s="16">
        <f t="shared" si="53"/>
        <v>2918.4580782596145</v>
      </c>
    </row>
    <row r="286" spans="1:17" x14ac:dyDescent="0.3">
      <c r="A286" s="13">
        <v>45370</v>
      </c>
      <c r="B286" s="13" t="str">
        <f t="shared" si="44"/>
        <v>March</v>
      </c>
      <c r="C286" s="13" t="str">
        <f t="shared" si="45"/>
        <v>2024-03</v>
      </c>
      <c r="D286" s="8">
        <v>99</v>
      </c>
      <c r="E286" s="8">
        <v>202</v>
      </c>
      <c r="F286" s="8">
        <v>256</v>
      </c>
      <c r="G286" s="8">
        <v>8390</v>
      </c>
      <c r="H286" s="8">
        <v>197</v>
      </c>
      <c r="I286" s="14">
        <f t="shared" si="46"/>
        <v>8592</v>
      </c>
      <c r="J286" s="14">
        <f t="shared" si="47"/>
        <v>59</v>
      </c>
      <c r="K286" s="15">
        <f t="shared" si="48"/>
        <v>-5.3538175046554939E-3</v>
      </c>
      <c r="L286" s="16" t="str">
        <f t="shared" si="49"/>
        <v>Invalid</v>
      </c>
      <c r="M286" s="16" t="str">
        <f t="shared" si="50"/>
        <v>Valid</v>
      </c>
      <c r="N286" s="17" t="str">
        <f t="shared" si="51"/>
        <v>Increasing Pressure</v>
      </c>
      <c r="O286" s="16">
        <f t="shared" si="52"/>
        <v>0.76953125</v>
      </c>
      <c r="P286" s="14">
        <f t="shared" si="54"/>
        <v>8338.5714285714294</v>
      </c>
      <c r="Q286" s="16">
        <f t="shared" si="53"/>
        <v>2918.4580782596145</v>
      </c>
    </row>
    <row r="287" spans="1:17" x14ac:dyDescent="0.3">
      <c r="A287" s="13">
        <v>45371</v>
      </c>
      <c r="B287" s="13" t="str">
        <f t="shared" si="44"/>
        <v>March</v>
      </c>
      <c r="C287" s="13" t="str">
        <f t="shared" si="45"/>
        <v>2024-03</v>
      </c>
      <c r="D287" s="8">
        <v>91</v>
      </c>
      <c r="E287" s="8">
        <v>181</v>
      </c>
      <c r="F287" s="8">
        <v>174</v>
      </c>
      <c r="G287" s="8">
        <v>8365</v>
      </c>
      <c r="H287" s="8">
        <v>227</v>
      </c>
      <c r="I287" s="14">
        <f t="shared" si="46"/>
        <v>8546</v>
      </c>
      <c r="J287" s="14">
        <f t="shared" si="47"/>
        <v>-53</v>
      </c>
      <c r="K287" s="15">
        <f t="shared" si="48"/>
        <v>8.1909665340510179E-4</v>
      </c>
      <c r="L287" s="16" t="str">
        <f t="shared" si="49"/>
        <v>Valid</v>
      </c>
      <c r="M287" s="16" t="str">
        <f t="shared" si="50"/>
        <v>Valid</v>
      </c>
      <c r="N287" s="17" t="str">
        <f t="shared" si="51"/>
        <v>Stable/Reducing</v>
      </c>
      <c r="O287" s="16">
        <f t="shared" si="52"/>
        <v>1.3045977011494252</v>
      </c>
      <c r="P287" s="14">
        <f t="shared" si="54"/>
        <v>8261.1428571428569</v>
      </c>
      <c r="Q287" s="16">
        <f t="shared" si="53"/>
        <v>2918.4580782596145</v>
      </c>
    </row>
    <row r="288" spans="1:17" x14ac:dyDescent="0.3">
      <c r="A288" s="13">
        <v>45372</v>
      </c>
      <c r="B288" s="13" t="str">
        <f t="shared" si="44"/>
        <v>March</v>
      </c>
      <c r="C288" s="13" t="str">
        <f t="shared" si="45"/>
        <v>2024-03</v>
      </c>
      <c r="D288" s="8">
        <v>132</v>
      </c>
      <c r="E288" s="8">
        <v>261</v>
      </c>
      <c r="F288" s="8">
        <v>141</v>
      </c>
      <c r="G288" s="8">
        <v>8292</v>
      </c>
      <c r="H288" s="8">
        <v>235</v>
      </c>
      <c r="I288" s="14">
        <f t="shared" si="46"/>
        <v>8553</v>
      </c>
      <c r="J288" s="14">
        <f t="shared" si="47"/>
        <v>-94</v>
      </c>
      <c r="K288" s="15">
        <f t="shared" si="48"/>
        <v>-4.5598035776920377E-2</v>
      </c>
      <c r="L288" s="16" t="str">
        <f t="shared" si="49"/>
        <v>Valid</v>
      </c>
      <c r="M288" s="16" t="str">
        <f t="shared" si="50"/>
        <v>Valid</v>
      </c>
      <c r="N288" s="17" t="str">
        <f t="shared" si="51"/>
        <v>Stable/Reducing</v>
      </c>
      <c r="O288" s="16">
        <f t="shared" si="52"/>
        <v>1.6666666666666667</v>
      </c>
      <c r="P288" s="14">
        <f t="shared" si="54"/>
        <v>8113.2857142857147</v>
      </c>
      <c r="Q288" s="16">
        <f t="shared" si="53"/>
        <v>2918.4580782596145</v>
      </c>
    </row>
    <row r="289" spans="1:17" x14ac:dyDescent="0.3">
      <c r="A289" s="13">
        <v>45375</v>
      </c>
      <c r="B289" s="13" t="str">
        <f t="shared" si="44"/>
        <v>March</v>
      </c>
      <c r="C289" s="13" t="str">
        <f t="shared" si="45"/>
        <v>2024-03</v>
      </c>
      <c r="D289" s="8">
        <v>124</v>
      </c>
      <c r="E289" s="8">
        <v>264</v>
      </c>
      <c r="F289" s="8">
        <v>221</v>
      </c>
      <c r="G289" s="8">
        <v>7899</v>
      </c>
      <c r="H289" s="8">
        <v>373</v>
      </c>
      <c r="I289" s="14">
        <f t="shared" si="46"/>
        <v>8163</v>
      </c>
      <c r="J289" s="14">
        <f t="shared" si="47"/>
        <v>-152</v>
      </c>
      <c r="K289" s="15">
        <f t="shared" si="48"/>
        <v>-2.6950875903466861E-3</v>
      </c>
      <c r="L289" s="16" t="str">
        <f t="shared" si="49"/>
        <v>Valid</v>
      </c>
      <c r="M289" s="16" t="str">
        <f t="shared" si="50"/>
        <v>Valid</v>
      </c>
      <c r="N289" s="17" t="str">
        <f t="shared" si="51"/>
        <v>Stable/Reducing</v>
      </c>
      <c r="O289" s="16">
        <f t="shared" si="52"/>
        <v>1.6877828054298643</v>
      </c>
      <c r="P289" s="14">
        <f t="shared" si="54"/>
        <v>7963.7142857142853</v>
      </c>
      <c r="Q289" s="16">
        <f t="shared" si="53"/>
        <v>2918.4580782596145</v>
      </c>
    </row>
    <row r="290" spans="1:17" x14ac:dyDescent="0.3">
      <c r="A290" s="13">
        <v>45376</v>
      </c>
      <c r="B290" s="13" t="str">
        <f t="shared" si="44"/>
        <v>March</v>
      </c>
      <c r="C290" s="13" t="str">
        <f t="shared" si="45"/>
        <v>2024-03</v>
      </c>
      <c r="D290" s="8">
        <v>128</v>
      </c>
      <c r="E290" s="8">
        <v>242</v>
      </c>
      <c r="F290" s="8">
        <v>224</v>
      </c>
      <c r="G290" s="8">
        <v>7899</v>
      </c>
      <c r="H290" s="8">
        <v>229</v>
      </c>
      <c r="I290" s="14">
        <f t="shared" si="46"/>
        <v>8141</v>
      </c>
      <c r="J290" s="14">
        <f t="shared" si="47"/>
        <v>-5</v>
      </c>
      <c r="K290" s="15">
        <f t="shared" si="48"/>
        <v>6.6330917577693159E-3</v>
      </c>
      <c r="L290" s="16" t="str">
        <f t="shared" si="49"/>
        <v>Valid</v>
      </c>
      <c r="M290" s="16" t="str">
        <f t="shared" si="50"/>
        <v>Valid</v>
      </c>
      <c r="N290" s="17" t="str">
        <f t="shared" si="51"/>
        <v>Stable/Reducing</v>
      </c>
      <c r="O290" s="16">
        <f t="shared" si="52"/>
        <v>1.0223214285714286</v>
      </c>
      <c r="P290" s="14">
        <f t="shared" si="54"/>
        <v>7879</v>
      </c>
      <c r="Q290" s="16">
        <f t="shared" si="53"/>
        <v>2918.4580782596145</v>
      </c>
    </row>
    <row r="291" spans="1:17" x14ac:dyDescent="0.3">
      <c r="A291" s="13">
        <v>45377</v>
      </c>
      <c r="B291" s="13" t="str">
        <f t="shared" si="44"/>
        <v>March</v>
      </c>
      <c r="C291" s="13" t="str">
        <f t="shared" si="45"/>
        <v>2024-03</v>
      </c>
      <c r="D291" s="8">
        <v>187</v>
      </c>
      <c r="E291" s="8">
        <v>276</v>
      </c>
      <c r="F291" s="8">
        <v>200</v>
      </c>
      <c r="G291" s="8">
        <v>7919</v>
      </c>
      <c r="H291" s="8">
        <v>208</v>
      </c>
      <c r="I291" s="14">
        <f t="shared" si="46"/>
        <v>8195</v>
      </c>
      <c r="J291" s="14">
        <f t="shared" si="47"/>
        <v>-8</v>
      </c>
      <c r="K291" s="15">
        <f t="shared" si="48"/>
        <v>-1.8303843807199512E-3</v>
      </c>
      <c r="L291" s="16" t="str">
        <f t="shared" si="49"/>
        <v>Valid</v>
      </c>
      <c r="M291" s="16" t="str">
        <f t="shared" si="50"/>
        <v>Valid</v>
      </c>
      <c r="N291" s="17" t="str">
        <f t="shared" si="51"/>
        <v>Stable/Reducing</v>
      </c>
      <c r="O291" s="16">
        <f t="shared" si="52"/>
        <v>1.04</v>
      </c>
      <c r="P291" s="14">
        <f t="shared" si="54"/>
        <v>7798.2857142857147</v>
      </c>
      <c r="Q291" s="16">
        <f t="shared" si="53"/>
        <v>2918.4580782596145</v>
      </c>
    </row>
    <row r="292" spans="1:17" x14ac:dyDescent="0.3">
      <c r="A292" s="13">
        <v>45378</v>
      </c>
      <c r="B292" s="13" t="str">
        <f t="shared" si="44"/>
        <v>March</v>
      </c>
      <c r="C292" s="13" t="str">
        <f t="shared" si="45"/>
        <v>2024-03</v>
      </c>
      <c r="D292" s="8">
        <v>129</v>
      </c>
      <c r="E292" s="8">
        <v>287</v>
      </c>
      <c r="F292" s="8">
        <v>185</v>
      </c>
      <c r="G292" s="8">
        <v>7893</v>
      </c>
      <c r="H292" s="8">
        <v>215</v>
      </c>
      <c r="I292" s="14">
        <f t="shared" si="46"/>
        <v>8180</v>
      </c>
      <c r="J292" s="14">
        <f t="shared" si="47"/>
        <v>-30</v>
      </c>
      <c r="K292" s="15">
        <f t="shared" si="48"/>
        <v>-1.5892420537897311E-2</v>
      </c>
      <c r="L292" s="16" t="str">
        <f t="shared" si="49"/>
        <v>Valid</v>
      </c>
      <c r="M292" s="16" t="str">
        <f t="shared" si="50"/>
        <v>Valid</v>
      </c>
      <c r="N292" s="17" t="str">
        <f t="shared" si="51"/>
        <v>Stable/Reducing</v>
      </c>
      <c r="O292" s="16">
        <f t="shared" si="52"/>
        <v>1.1621621621621621</v>
      </c>
      <c r="P292" s="14">
        <f t="shared" si="54"/>
        <v>7705.1428571428569</v>
      </c>
      <c r="Q292" s="16">
        <f t="shared" si="53"/>
        <v>2918.4580782596145</v>
      </c>
    </row>
    <row r="293" spans="1:17" x14ac:dyDescent="0.3">
      <c r="A293" s="13">
        <v>45379</v>
      </c>
      <c r="B293" s="13" t="str">
        <f t="shared" si="44"/>
        <v>March</v>
      </c>
      <c r="C293" s="13" t="str">
        <f t="shared" si="45"/>
        <v>2024-03</v>
      </c>
      <c r="D293" s="8">
        <v>161</v>
      </c>
      <c r="E293" s="8">
        <v>288</v>
      </c>
      <c r="F293" s="8">
        <v>248</v>
      </c>
      <c r="G293" s="8">
        <v>7762</v>
      </c>
      <c r="H293" s="8">
        <v>360</v>
      </c>
      <c r="I293" s="14">
        <f t="shared" si="46"/>
        <v>8050</v>
      </c>
      <c r="J293" s="14">
        <f t="shared" si="47"/>
        <v>-112</v>
      </c>
      <c r="K293" s="15">
        <f t="shared" si="48"/>
        <v>-6.6956521739130428E-2</v>
      </c>
      <c r="L293" s="16" t="str">
        <f t="shared" si="49"/>
        <v>Valid</v>
      </c>
      <c r="M293" s="16" t="str">
        <f t="shared" si="50"/>
        <v>Valid</v>
      </c>
      <c r="N293" s="17" t="str">
        <f t="shared" si="51"/>
        <v>Stable/Reducing</v>
      </c>
      <c r="O293" s="16">
        <f t="shared" si="52"/>
        <v>1.4516129032258065</v>
      </c>
      <c r="P293" s="14">
        <f t="shared" si="54"/>
        <v>7568.1428571428569</v>
      </c>
      <c r="Q293" s="16">
        <f t="shared" si="53"/>
        <v>2918.4580782596145</v>
      </c>
    </row>
    <row r="294" spans="1:17" x14ac:dyDescent="0.3">
      <c r="A294" s="13">
        <v>45382</v>
      </c>
      <c r="B294" s="13" t="str">
        <f t="shared" si="44"/>
        <v>March</v>
      </c>
      <c r="C294" s="13" t="str">
        <f t="shared" si="45"/>
        <v>2024-03</v>
      </c>
      <c r="D294" s="8">
        <v>105</v>
      </c>
      <c r="E294" s="8">
        <v>254</v>
      </c>
      <c r="F294" s="8">
        <v>151</v>
      </c>
      <c r="G294" s="8">
        <v>7257</v>
      </c>
      <c r="H294" s="8">
        <v>287</v>
      </c>
      <c r="I294" s="14">
        <f t="shared" si="46"/>
        <v>7511</v>
      </c>
      <c r="J294" s="14">
        <f t="shared" si="47"/>
        <v>-136</v>
      </c>
      <c r="K294" s="15">
        <f t="shared" si="48"/>
        <v>-6.6569032086273463E-4</v>
      </c>
      <c r="L294" s="16" t="str">
        <f t="shared" si="49"/>
        <v>Valid</v>
      </c>
      <c r="M294" s="16" t="str">
        <f t="shared" si="50"/>
        <v>Valid</v>
      </c>
      <c r="N294" s="17" t="str">
        <f t="shared" si="51"/>
        <v>Stable/Reducing</v>
      </c>
      <c r="O294" s="16">
        <f t="shared" si="52"/>
        <v>1.9006622516556291</v>
      </c>
      <c r="P294" s="14">
        <f t="shared" si="54"/>
        <v>7449.2857142857147</v>
      </c>
      <c r="Q294" s="16">
        <f t="shared" si="53"/>
        <v>2918.4580782596145</v>
      </c>
    </row>
    <row r="295" spans="1:17" x14ac:dyDescent="0.3">
      <c r="A295" s="13">
        <v>45383</v>
      </c>
      <c r="B295" s="13" t="str">
        <f t="shared" si="44"/>
        <v>April</v>
      </c>
      <c r="C295" s="13" t="str">
        <f t="shared" si="45"/>
        <v>2024-04</v>
      </c>
      <c r="D295" s="8">
        <v>109</v>
      </c>
      <c r="E295" s="8">
        <v>235</v>
      </c>
      <c r="F295" s="8">
        <v>171</v>
      </c>
      <c r="G295" s="8">
        <v>7271</v>
      </c>
      <c r="H295" s="8">
        <v>172</v>
      </c>
      <c r="I295" s="14">
        <f t="shared" si="46"/>
        <v>7506</v>
      </c>
      <c r="J295" s="14">
        <f t="shared" si="47"/>
        <v>-1</v>
      </c>
      <c r="K295" s="15">
        <f t="shared" si="48"/>
        <v>8.5265121236344256E-3</v>
      </c>
      <c r="L295" s="16" t="str">
        <f t="shared" si="49"/>
        <v>Valid</v>
      </c>
      <c r="M295" s="16" t="str">
        <f t="shared" si="50"/>
        <v>Valid</v>
      </c>
      <c r="N295" s="17" t="str">
        <f t="shared" si="51"/>
        <v>Stable/Reducing</v>
      </c>
      <c r="O295" s="16">
        <f t="shared" si="52"/>
        <v>1.0058479532163742</v>
      </c>
      <c r="P295" s="14">
        <f t="shared" si="54"/>
        <v>7415.4285714285716</v>
      </c>
      <c r="Q295" s="16">
        <f t="shared" si="53"/>
        <v>2918.4580782596145</v>
      </c>
    </row>
    <row r="296" spans="1:17" x14ac:dyDescent="0.3">
      <c r="A296" s="13">
        <v>45384</v>
      </c>
      <c r="B296" s="13" t="str">
        <f t="shared" si="44"/>
        <v>April</v>
      </c>
      <c r="C296" s="13" t="str">
        <f t="shared" si="45"/>
        <v>2024-04</v>
      </c>
      <c r="D296" s="8">
        <v>101</v>
      </c>
      <c r="E296" s="8">
        <v>230</v>
      </c>
      <c r="F296" s="8">
        <v>175</v>
      </c>
      <c r="G296" s="8">
        <v>7340</v>
      </c>
      <c r="H296" s="8">
        <v>132</v>
      </c>
      <c r="I296" s="14">
        <f t="shared" si="46"/>
        <v>7570</v>
      </c>
      <c r="J296" s="14">
        <f t="shared" si="47"/>
        <v>43</v>
      </c>
      <c r="K296" s="15">
        <f t="shared" si="48"/>
        <v>7.9260237780713345E-4</v>
      </c>
      <c r="L296" s="16" t="str">
        <f t="shared" si="49"/>
        <v>Valid</v>
      </c>
      <c r="M296" s="16" t="str">
        <f t="shared" si="50"/>
        <v>Valid</v>
      </c>
      <c r="N296" s="17" t="str">
        <f t="shared" si="51"/>
        <v>Increasing Pressure</v>
      </c>
      <c r="O296" s="16">
        <f t="shared" si="52"/>
        <v>0.75428571428571434</v>
      </c>
      <c r="P296" s="14">
        <f t="shared" si="54"/>
        <v>7377.8571428571431</v>
      </c>
      <c r="Q296" s="16">
        <f t="shared" si="53"/>
        <v>2918.4580782596145</v>
      </c>
    </row>
    <row r="297" spans="1:17" x14ac:dyDescent="0.3">
      <c r="A297" s="13">
        <v>45385</v>
      </c>
      <c r="B297" s="13" t="str">
        <f t="shared" si="44"/>
        <v>April</v>
      </c>
      <c r="C297" s="13" t="str">
        <f t="shared" si="45"/>
        <v>2024-04</v>
      </c>
      <c r="D297" s="8">
        <v>124</v>
      </c>
      <c r="E297" s="8">
        <v>230</v>
      </c>
      <c r="F297" s="8">
        <v>190</v>
      </c>
      <c r="G297" s="8">
        <v>7346</v>
      </c>
      <c r="H297" s="8">
        <v>163</v>
      </c>
      <c r="I297" s="14">
        <f t="shared" si="46"/>
        <v>7576</v>
      </c>
      <c r="J297" s="14">
        <f t="shared" si="47"/>
        <v>27</v>
      </c>
      <c r="K297" s="15">
        <f t="shared" si="48"/>
        <v>-4.3558606124604014E-3</v>
      </c>
      <c r="L297" s="16" t="str">
        <f t="shared" si="49"/>
        <v>Valid</v>
      </c>
      <c r="M297" s="16" t="str">
        <f t="shared" si="50"/>
        <v>Valid</v>
      </c>
      <c r="N297" s="17" t="str">
        <f t="shared" si="51"/>
        <v>Increasing Pressure</v>
      </c>
      <c r="O297" s="16">
        <f t="shared" si="52"/>
        <v>0.85789473684210527</v>
      </c>
      <c r="P297" s="14">
        <f t="shared" si="54"/>
        <v>7315.4285714285716</v>
      </c>
      <c r="Q297" s="16">
        <f t="shared" si="53"/>
        <v>2918.4580782596145</v>
      </c>
    </row>
    <row r="298" spans="1:17" x14ac:dyDescent="0.3">
      <c r="A298" s="13">
        <v>45386</v>
      </c>
      <c r="B298" s="13" t="str">
        <f t="shared" si="44"/>
        <v>April</v>
      </c>
      <c r="C298" s="13" t="str">
        <f t="shared" si="45"/>
        <v>2024-04</v>
      </c>
      <c r="D298" s="8">
        <v>95</v>
      </c>
      <c r="E298" s="8">
        <v>226</v>
      </c>
      <c r="F298" s="8">
        <v>152</v>
      </c>
      <c r="G298" s="8">
        <v>7317</v>
      </c>
      <c r="H298" s="8">
        <v>225</v>
      </c>
      <c r="I298" s="14">
        <f t="shared" si="46"/>
        <v>7543</v>
      </c>
      <c r="J298" s="14">
        <f t="shared" si="47"/>
        <v>-73</v>
      </c>
      <c r="K298" s="15">
        <f t="shared" si="48"/>
        <v>-4.2688585443457508E-2</v>
      </c>
      <c r="L298" s="16" t="str">
        <f t="shared" si="49"/>
        <v>Valid</v>
      </c>
      <c r="M298" s="16" t="str">
        <f t="shared" si="50"/>
        <v>Valid</v>
      </c>
      <c r="N298" s="17" t="str">
        <f t="shared" si="51"/>
        <v>Stable/Reducing</v>
      </c>
      <c r="O298" s="16">
        <f t="shared" si="52"/>
        <v>1.4802631578947369</v>
      </c>
      <c r="P298" s="14">
        <f t="shared" si="54"/>
        <v>7215.2857142857147</v>
      </c>
      <c r="Q298" s="16">
        <f t="shared" si="53"/>
        <v>2918.4580782596145</v>
      </c>
    </row>
    <row r="299" spans="1:17" x14ac:dyDescent="0.3">
      <c r="A299" s="13">
        <v>45389</v>
      </c>
      <c r="B299" s="13" t="str">
        <f t="shared" si="44"/>
        <v>April</v>
      </c>
      <c r="C299" s="13" t="str">
        <f t="shared" si="45"/>
        <v>2024-04</v>
      </c>
      <c r="D299" s="8">
        <v>106</v>
      </c>
      <c r="E299" s="8">
        <v>239</v>
      </c>
      <c r="F299" s="8">
        <v>233</v>
      </c>
      <c r="G299" s="8">
        <v>6982</v>
      </c>
      <c r="H299" s="8">
        <v>279</v>
      </c>
      <c r="I299" s="14">
        <f t="shared" si="46"/>
        <v>7221</v>
      </c>
      <c r="J299" s="14">
        <f t="shared" si="47"/>
        <v>-46</v>
      </c>
      <c r="K299" s="15">
        <f t="shared" si="48"/>
        <v>-4.1545492314083921E-4</v>
      </c>
      <c r="L299" s="16" t="str">
        <f t="shared" si="49"/>
        <v>Valid</v>
      </c>
      <c r="M299" s="16" t="str">
        <f t="shared" si="50"/>
        <v>Valid</v>
      </c>
      <c r="N299" s="17" t="str">
        <f t="shared" si="51"/>
        <v>Stable/Reducing</v>
      </c>
      <c r="O299" s="16">
        <f t="shared" si="52"/>
        <v>1.1974248927038627</v>
      </c>
      <c r="P299" s="14">
        <f t="shared" si="54"/>
        <v>7135.4285714285716</v>
      </c>
      <c r="Q299" s="16">
        <f t="shared" si="53"/>
        <v>2918.4580782596145</v>
      </c>
    </row>
    <row r="300" spans="1:17" x14ac:dyDescent="0.3">
      <c r="A300" s="13">
        <v>45390</v>
      </c>
      <c r="B300" s="13" t="str">
        <f t="shared" si="44"/>
        <v>April</v>
      </c>
      <c r="C300" s="13" t="str">
        <f t="shared" si="45"/>
        <v>2024-04</v>
      </c>
      <c r="D300" s="8">
        <v>102</v>
      </c>
      <c r="E300" s="8">
        <v>230</v>
      </c>
      <c r="F300" s="8">
        <v>167</v>
      </c>
      <c r="G300" s="8">
        <v>6988</v>
      </c>
      <c r="H300" s="8">
        <v>199</v>
      </c>
      <c r="I300" s="14">
        <f t="shared" si="46"/>
        <v>7218</v>
      </c>
      <c r="J300" s="14">
        <f t="shared" si="47"/>
        <v>-32</v>
      </c>
      <c r="K300" s="15">
        <f t="shared" si="48"/>
        <v>7.7583818232197285E-3</v>
      </c>
      <c r="L300" s="16" t="str">
        <f t="shared" si="49"/>
        <v>Valid</v>
      </c>
      <c r="M300" s="16" t="str">
        <f t="shared" si="50"/>
        <v>Valid</v>
      </c>
      <c r="N300" s="17" t="str">
        <f t="shared" si="51"/>
        <v>Stable/Reducing</v>
      </c>
      <c r="O300" s="16">
        <f t="shared" si="52"/>
        <v>1.1916167664670658</v>
      </c>
      <c r="P300" s="14">
        <f t="shared" si="54"/>
        <v>7114.8571428571431</v>
      </c>
      <c r="Q300" s="16">
        <f t="shared" si="53"/>
        <v>2918.4580782596145</v>
      </c>
    </row>
    <row r="301" spans="1:17" x14ac:dyDescent="0.3">
      <c r="A301" s="13">
        <v>45391</v>
      </c>
      <c r="B301" s="13" t="str">
        <f t="shared" si="44"/>
        <v>April</v>
      </c>
      <c r="C301" s="13" t="str">
        <f t="shared" si="45"/>
        <v>2024-04</v>
      </c>
      <c r="D301" s="8">
        <v>118</v>
      </c>
      <c r="E301" s="8">
        <v>231</v>
      </c>
      <c r="F301" s="8">
        <v>217</v>
      </c>
      <c r="G301" s="8">
        <v>7043</v>
      </c>
      <c r="H301" s="8">
        <v>130</v>
      </c>
      <c r="I301" s="14">
        <f t="shared" si="46"/>
        <v>7274</v>
      </c>
      <c r="J301" s="14">
        <f t="shared" si="47"/>
        <v>87</v>
      </c>
      <c r="K301" s="15">
        <f t="shared" si="48"/>
        <v>-4.2617541930162223E-3</v>
      </c>
      <c r="L301" s="16" t="str">
        <f t="shared" si="49"/>
        <v>Valid</v>
      </c>
      <c r="M301" s="16" t="str">
        <f t="shared" si="50"/>
        <v>Valid</v>
      </c>
      <c r="N301" s="17" t="str">
        <f t="shared" si="51"/>
        <v>Increasing Pressure</v>
      </c>
      <c r="O301" s="16">
        <f t="shared" si="52"/>
        <v>0.59907834101382484</v>
      </c>
      <c r="P301" s="14">
        <f t="shared" si="54"/>
        <v>7097.4285714285716</v>
      </c>
      <c r="Q301" s="16">
        <f t="shared" si="53"/>
        <v>2918.4580782596145</v>
      </c>
    </row>
    <row r="302" spans="1:17" x14ac:dyDescent="0.3">
      <c r="A302" s="13">
        <v>45392</v>
      </c>
      <c r="B302" s="13" t="str">
        <f t="shared" si="44"/>
        <v>April</v>
      </c>
      <c r="C302" s="13" t="str">
        <f t="shared" si="45"/>
        <v>2024-04</v>
      </c>
      <c r="D302" s="8">
        <v>117</v>
      </c>
      <c r="E302" s="8">
        <v>244</v>
      </c>
      <c r="F302" s="8">
        <v>142</v>
      </c>
      <c r="G302" s="8">
        <v>6999</v>
      </c>
      <c r="H302" s="8">
        <v>227</v>
      </c>
      <c r="I302" s="14">
        <f t="shared" si="46"/>
        <v>7243</v>
      </c>
      <c r="J302" s="14">
        <f t="shared" si="47"/>
        <v>-85</v>
      </c>
      <c r="K302" s="15">
        <f t="shared" si="48"/>
        <v>-1.5187077177964931E-2</v>
      </c>
      <c r="L302" s="16" t="str">
        <f t="shared" si="49"/>
        <v>Valid</v>
      </c>
      <c r="M302" s="16" t="str">
        <f t="shared" si="50"/>
        <v>Valid</v>
      </c>
      <c r="N302" s="17" t="str">
        <f t="shared" si="51"/>
        <v>Stable/Reducing</v>
      </c>
      <c r="O302" s="16">
        <f t="shared" si="52"/>
        <v>1.5985915492957747</v>
      </c>
      <c r="P302" s="14">
        <f t="shared" si="54"/>
        <v>7065.4285714285716</v>
      </c>
      <c r="Q302" s="16">
        <f t="shared" si="53"/>
        <v>2918.4580782596145</v>
      </c>
    </row>
    <row r="303" spans="1:17" x14ac:dyDescent="0.3">
      <c r="A303" s="13">
        <v>45393</v>
      </c>
      <c r="B303" s="13" t="str">
        <f t="shared" si="44"/>
        <v>April</v>
      </c>
      <c r="C303" s="13" t="str">
        <f t="shared" si="45"/>
        <v>2024-04</v>
      </c>
      <c r="D303" s="8">
        <v>183</v>
      </c>
      <c r="E303" s="8">
        <v>221</v>
      </c>
      <c r="F303" s="8">
        <v>220</v>
      </c>
      <c r="G303" s="8">
        <v>6912</v>
      </c>
      <c r="H303" s="8">
        <v>285</v>
      </c>
      <c r="I303" s="14">
        <f t="shared" si="46"/>
        <v>7133</v>
      </c>
      <c r="J303" s="14">
        <f t="shared" si="47"/>
        <v>-65</v>
      </c>
      <c r="K303" s="15">
        <f t="shared" si="48"/>
        <v>-3.6169914481985137E-2</v>
      </c>
      <c r="L303" s="16" t="str">
        <f t="shared" si="49"/>
        <v>Valid</v>
      </c>
      <c r="M303" s="16" t="str">
        <f t="shared" si="50"/>
        <v>Valid</v>
      </c>
      <c r="N303" s="17" t="str">
        <f t="shared" si="51"/>
        <v>Stable/Reducing</v>
      </c>
      <c r="O303" s="16">
        <f t="shared" si="52"/>
        <v>1.2954545454545454</v>
      </c>
      <c r="P303" s="14">
        <f t="shared" si="54"/>
        <v>7048.5714285714284</v>
      </c>
      <c r="Q303" s="16">
        <f t="shared" si="53"/>
        <v>2918.4580782596145</v>
      </c>
    </row>
    <row r="304" spans="1:17" x14ac:dyDescent="0.3">
      <c r="A304" s="13">
        <v>45396</v>
      </c>
      <c r="B304" s="13" t="str">
        <f t="shared" si="44"/>
        <v>April</v>
      </c>
      <c r="C304" s="13" t="str">
        <f t="shared" si="45"/>
        <v>2024-04</v>
      </c>
      <c r="D304" s="8">
        <v>128</v>
      </c>
      <c r="E304" s="8">
        <v>245</v>
      </c>
      <c r="F304" s="8">
        <v>243</v>
      </c>
      <c r="G304" s="8">
        <v>6630</v>
      </c>
      <c r="H304" s="8">
        <v>290</v>
      </c>
      <c r="I304" s="14">
        <f t="shared" si="46"/>
        <v>6875</v>
      </c>
      <c r="J304" s="14">
        <f t="shared" si="47"/>
        <v>-47</v>
      </c>
      <c r="K304" s="15">
        <f t="shared" si="48"/>
        <v>1.5854545454545454E-2</v>
      </c>
      <c r="L304" s="16" t="str">
        <f t="shared" si="49"/>
        <v>Valid</v>
      </c>
      <c r="M304" s="16" t="str">
        <f t="shared" si="50"/>
        <v>Valid</v>
      </c>
      <c r="N304" s="17" t="str">
        <f t="shared" si="51"/>
        <v>Stable/Reducing</v>
      </c>
      <c r="O304" s="16">
        <f t="shared" si="52"/>
        <v>1.1934156378600822</v>
      </c>
      <c r="P304" s="14">
        <f t="shared" si="54"/>
        <v>7061.4285714285716</v>
      </c>
      <c r="Q304" s="16">
        <f t="shared" si="53"/>
        <v>2918.4580782596145</v>
      </c>
    </row>
    <row r="305" spans="1:17" x14ac:dyDescent="0.3">
      <c r="A305" s="13">
        <v>45397</v>
      </c>
      <c r="B305" s="13" t="str">
        <f t="shared" si="44"/>
        <v>April</v>
      </c>
      <c r="C305" s="13" t="str">
        <f t="shared" si="45"/>
        <v>2024-04</v>
      </c>
      <c r="D305" s="8">
        <v>144</v>
      </c>
      <c r="E305" s="8">
        <v>303</v>
      </c>
      <c r="F305" s="8">
        <v>176</v>
      </c>
      <c r="G305" s="8">
        <v>6681</v>
      </c>
      <c r="H305" s="8">
        <v>191</v>
      </c>
      <c r="I305" s="14">
        <f t="shared" si="46"/>
        <v>6984</v>
      </c>
      <c r="J305" s="14">
        <f t="shared" si="47"/>
        <v>-15</v>
      </c>
      <c r="K305" s="15">
        <f t="shared" si="48"/>
        <v>1.331615120274914E-2</v>
      </c>
      <c r="L305" s="16" t="str">
        <f t="shared" si="49"/>
        <v>Valid</v>
      </c>
      <c r="M305" s="16" t="str">
        <f t="shared" si="50"/>
        <v>Valid</v>
      </c>
      <c r="N305" s="17" t="str">
        <f t="shared" si="51"/>
        <v>Stable/Reducing</v>
      </c>
      <c r="O305" s="16">
        <f t="shared" si="52"/>
        <v>1.0852272727272727</v>
      </c>
      <c r="P305" s="14">
        <f t="shared" si="54"/>
        <v>7135.5714285714284</v>
      </c>
      <c r="Q305" s="16">
        <f t="shared" si="53"/>
        <v>2918.4580782596145</v>
      </c>
    </row>
    <row r="306" spans="1:17" x14ac:dyDescent="0.3">
      <c r="A306" s="13">
        <v>45398</v>
      </c>
      <c r="B306" s="13" t="str">
        <f t="shared" si="44"/>
        <v>April</v>
      </c>
      <c r="C306" s="13" t="str">
        <f t="shared" si="45"/>
        <v>2024-04</v>
      </c>
      <c r="D306" s="8">
        <v>219</v>
      </c>
      <c r="E306" s="8">
        <v>392</v>
      </c>
      <c r="F306" s="8">
        <v>205</v>
      </c>
      <c r="G306" s="8">
        <v>6685</v>
      </c>
      <c r="H306" s="8">
        <v>163</v>
      </c>
      <c r="I306" s="14">
        <f t="shared" si="46"/>
        <v>7077</v>
      </c>
      <c r="J306" s="14">
        <f t="shared" si="47"/>
        <v>42</v>
      </c>
      <c r="K306" s="15">
        <f t="shared" si="48"/>
        <v>2.6847534265931894E-3</v>
      </c>
      <c r="L306" s="16" t="str">
        <f t="shared" si="49"/>
        <v>Valid</v>
      </c>
      <c r="M306" s="16" t="str">
        <f t="shared" si="50"/>
        <v>Valid</v>
      </c>
      <c r="N306" s="17" t="str">
        <f t="shared" si="51"/>
        <v>Increasing Pressure</v>
      </c>
      <c r="O306" s="16">
        <f t="shared" si="52"/>
        <v>0.79512195121951224</v>
      </c>
      <c r="P306" s="14">
        <f t="shared" si="54"/>
        <v>7214.8571428571431</v>
      </c>
      <c r="Q306" s="16">
        <f t="shared" si="53"/>
        <v>2918.4580782596145</v>
      </c>
    </row>
    <row r="307" spans="1:17" x14ac:dyDescent="0.3">
      <c r="A307" s="13">
        <v>45399</v>
      </c>
      <c r="B307" s="13" t="str">
        <f t="shared" si="44"/>
        <v>April</v>
      </c>
      <c r="C307" s="13" t="str">
        <f t="shared" si="45"/>
        <v>2024-04</v>
      </c>
      <c r="D307" s="8">
        <v>182</v>
      </c>
      <c r="E307" s="8">
        <v>371</v>
      </c>
      <c r="F307" s="8">
        <v>274</v>
      </c>
      <c r="G307" s="8">
        <v>6725</v>
      </c>
      <c r="H307" s="8">
        <v>227</v>
      </c>
      <c r="I307" s="14">
        <f t="shared" si="46"/>
        <v>7096</v>
      </c>
      <c r="J307" s="14">
        <f t="shared" si="47"/>
        <v>47</v>
      </c>
      <c r="K307" s="15">
        <f t="shared" si="48"/>
        <v>-6.4825253664036074E-3</v>
      </c>
      <c r="L307" s="16" t="str">
        <f t="shared" si="49"/>
        <v>Valid</v>
      </c>
      <c r="M307" s="16" t="str">
        <f t="shared" si="50"/>
        <v>Valid</v>
      </c>
      <c r="N307" s="17" t="str">
        <f t="shared" si="51"/>
        <v>Increasing Pressure</v>
      </c>
      <c r="O307" s="16">
        <f t="shared" si="52"/>
        <v>0.82846715328467158</v>
      </c>
      <c r="P307" s="14">
        <f t="shared" si="54"/>
        <v>7284.7142857142853</v>
      </c>
      <c r="Q307" s="16">
        <f t="shared" si="53"/>
        <v>2918.4580782596145</v>
      </c>
    </row>
    <row r="308" spans="1:17" x14ac:dyDescent="0.3">
      <c r="A308" s="13">
        <v>45400</v>
      </c>
      <c r="B308" s="13" t="str">
        <f t="shared" si="44"/>
        <v>April</v>
      </c>
      <c r="C308" s="13" t="str">
        <f t="shared" si="45"/>
        <v>2024-04</v>
      </c>
      <c r="D308" s="8">
        <v>144</v>
      </c>
      <c r="E308" s="8">
        <v>322</v>
      </c>
      <c r="F308" s="8">
        <v>258</v>
      </c>
      <c r="G308" s="8">
        <v>6728</v>
      </c>
      <c r="H308" s="8">
        <v>260</v>
      </c>
      <c r="I308" s="14">
        <f t="shared" si="46"/>
        <v>7050</v>
      </c>
      <c r="J308" s="14">
        <f t="shared" si="47"/>
        <v>-2</v>
      </c>
      <c r="K308" s="15">
        <f t="shared" si="48"/>
        <v>1.0638297872340425E-2</v>
      </c>
      <c r="L308" s="16" t="str">
        <f t="shared" si="49"/>
        <v>Valid</v>
      </c>
      <c r="M308" s="16" t="str">
        <f t="shared" si="50"/>
        <v>Valid</v>
      </c>
      <c r="N308" s="17" t="str">
        <f t="shared" si="51"/>
        <v>Stable/Reducing</v>
      </c>
      <c r="O308" s="16">
        <f t="shared" si="52"/>
        <v>1.0077519379844961</v>
      </c>
      <c r="P308" s="14">
        <f t="shared" si="54"/>
        <v>7363.4285714285716</v>
      </c>
      <c r="Q308" s="16">
        <f t="shared" si="53"/>
        <v>2918.4580782596145</v>
      </c>
    </row>
    <row r="309" spans="1:17" x14ac:dyDescent="0.3">
      <c r="A309" s="13">
        <v>45403</v>
      </c>
      <c r="B309" s="13" t="str">
        <f t="shared" si="44"/>
        <v>April</v>
      </c>
      <c r="C309" s="13" t="str">
        <f t="shared" si="45"/>
        <v>2024-04</v>
      </c>
      <c r="D309" s="8">
        <v>208</v>
      </c>
      <c r="E309" s="8">
        <v>380</v>
      </c>
      <c r="F309" s="8">
        <v>343</v>
      </c>
      <c r="G309" s="8">
        <v>6745</v>
      </c>
      <c r="H309" s="8">
        <v>240</v>
      </c>
      <c r="I309" s="14">
        <f t="shared" si="46"/>
        <v>7125</v>
      </c>
      <c r="J309" s="14">
        <f t="shared" si="47"/>
        <v>103</v>
      </c>
      <c r="K309" s="15">
        <f t="shared" si="48"/>
        <v>1.3754385964912281E-2</v>
      </c>
      <c r="L309" s="16" t="str">
        <f t="shared" si="49"/>
        <v>Valid</v>
      </c>
      <c r="M309" s="16" t="str">
        <f t="shared" si="50"/>
        <v>Valid</v>
      </c>
      <c r="N309" s="17" t="str">
        <f t="shared" si="51"/>
        <v>Increasing Pressure</v>
      </c>
      <c r="O309" s="16">
        <f t="shared" si="52"/>
        <v>0.69970845481049559</v>
      </c>
      <c r="P309" s="14">
        <f t="shared" si="54"/>
        <v>7451.2857142857147</v>
      </c>
      <c r="Q309" s="16">
        <f t="shared" si="53"/>
        <v>2918.4580782596145</v>
      </c>
    </row>
    <row r="310" spans="1:17" x14ac:dyDescent="0.3">
      <c r="A310" s="13">
        <v>45404</v>
      </c>
      <c r="B310" s="13" t="str">
        <f t="shared" si="44"/>
        <v>April</v>
      </c>
      <c r="C310" s="13" t="str">
        <f t="shared" si="45"/>
        <v>2024-04</v>
      </c>
      <c r="D310" s="8">
        <v>176</v>
      </c>
      <c r="E310" s="8">
        <v>424</v>
      </c>
      <c r="F310" s="8">
        <v>251</v>
      </c>
      <c r="G310" s="8">
        <v>6799</v>
      </c>
      <c r="H310" s="8">
        <v>214</v>
      </c>
      <c r="I310" s="14">
        <f t="shared" si="46"/>
        <v>7223</v>
      </c>
      <c r="J310" s="14">
        <f t="shared" si="47"/>
        <v>37</v>
      </c>
      <c r="K310" s="15">
        <f t="shared" si="48"/>
        <v>2.3674373529004568E-2</v>
      </c>
      <c r="L310" s="16" t="str">
        <f t="shared" si="49"/>
        <v>Valid</v>
      </c>
      <c r="M310" s="16" t="str">
        <f t="shared" si="50"/>
        <v>Valid</v>
      </c>
      <c r="N310" s="17" t="str">
        <f t="shared" si="51"/>
        <v>Increasing Pressure</v>
      </c>
      <c r="O310" s="16">
        <f t="shared" si="52"/>
        <v>0.85258964143426297</v>
      </c>
      <c r="P310" s="14">
        <f t="shared" si="54"/>
        <v>7558.2857142857147</v>
      </c>
      <c r="Q310" s="16">
        <f t="shared" si="53"/>
        <v>2918.4580782596145</v>
      </c>
    </row>
    <row r="311" spans="1:17" x14ac:dyDescent="0.3">
      <c r="A311" s="13">
        <v>45405</v>
      </c>
      <c r="B311" s="13" t="str">
        <f t="shared" si="44"/>
        <v>April</v>
      </c>
      <c r="C311" s="13" t="str">
        <f t="shared" si="45"/>
        <v>2024-04</v>
      </c>
      <c r="D311" s="8">
        <v>252</v>
      </c>
      <c r="E311" s="8">
        <v>427</v>
      </c>
      <c r="F311" s="8">
        <v>307</v>
      </c>
      <c r="G311" s="8">
        <v>6967</v>
      </c>
      <c r="H311" s="8">
        <v>134</v>
      </c>
      <c r="I311" s="14">
        <f t="shared" si="46"/>
        <v>7394</v>
      </c>
      <c r="J311" s="14">
        <f t="shared" si="47"/>
        <v>173</v>
      </c>
      <c r="K311" s="15">
        <f t="shared" si="48"/>
        <v>1.9610494995942657E-2</v>
      </c>
      <c r="L311" s="16" t="str">
        <f t="shared" si="49"/>
        <v>Valid</v>
      </c>
      <c r="M311" s="16" t="str">
        <f t="shared" si="50"/>
        <v>Valid</v>
      </c>
      <c r="N311" s="17" t="str">
        <f t="shared" si="51"/>
        <v>Increasing Pressure</v>
      </c>
      <c r="O311" s="16">
        <f t="shared" si="52"/>
        <v>0.43648208469055377</v>
      </c>
      <c r="P311" s="14">
        <f t="shared" si="54"/>
        <v>7661.4285714285716</v>
      </c>
      <c r="Q311" s="16">
        <f t="shared" si="53"/>
        <v>2918.4580782596145</v>
      </c>
    </row>
    <row r="312" spans="1:17" x14ac:dyDescent="0.3">
      <c r="A312" s="13">
        <v>45406</v>
      </c>
      <c r="B312" s="13" t="str">
        <f t="shared" si="44"/>
        <v>April</v>
      </c>
      <c r="C312" s="13" t="str">
        <f t="shared" si="45"/>
        <v>2024-04</v>
      </c>
      <c r="D312" s="8">
        <v>253</v>
      </c>
      <c r="E312" s="8">
        <v>411</v>
      </c>
      <c r="F312" s="8">
        <v>307</v>
      </c>
      <c r="G312" s="8">
        <v>7128</v>
      </c>
      <c r="H312" s="8">
        <v>154</v>
      </c>
      <c r="I312" s="14">
        <f t="shared" si="46"/>
        <v>7539</v>
      </c>
      <c r="J312" s="14">
        <f t="shared" si="47"/>
        <v>153</v>
      </c>
      <c r="K312" s="15">
        <f t="shared" si="48"/>
        <v>3.5813768404297651E-3</v>
      </c>
      <c r="L312" s="16" t="str">
        <f t="shared" si="49"/>
        <v>Valid</v>
      </c>
      <c r="M312" s="16" t="str">
        <f t="shared" si="50"/>
        <v>Valid</v>
      </c>
      <c r="N312" s="17" t="str">
        <f t="shared" si="51"/>
        <v>Increasing Pressure</v>
      </c>
      <c r="O312" s="16">
        <f t="shared" si="52"/>
        <v>0.50162866449511401</v>
      </c>
      <c r="P312" s="14">
        <f t="shared" si="54"/>
        <v>7746.2857142857147</v>
      </c>
      <c r="Q312" s="16">
        <f t="shared" si="53"/>
        <v>2918.4580782596145</v>
      </c>
    </row>
    <row r="313" spans="1:17" x14ac:dyDescent="0.3">
      <c r="A313" s="13">
        <v>45407</v>
      </c>
      <c r="B313" s="13" t="str">
        <f t="shared" si="44"/>
        <v>April</v>
      </c>
      <c r="C313" s="13" t="str">
        <f t="shared" si="45"/>
        <v>2024-04</v>
      </c>
      <c r="D313" s="8">
        <v>145</v>
      </c>
      <c r="E313" s="8">
        <v>357</v>
      </c>
      <c r="F313" s="8">
        <v>333</v>
      </c>
      <c r="G313" s="8">
        <v>7209</v>
      </c>
      <c r="H313" s="8">
        <v>217</v>
      </c>
      <c r="I313" s="14">
        <f t="shared" si="46"/>
        <v>7566</v>
      </c>
      <c r="J313" s="14">
        <f t="shared" si="47"/>
        <v>116</v>
      </c>
      <c r="K313" s="15">
        <f t="shared" si="48"/>
        <v>1.070578905630452E-2</v>
      </c>
      <c r="L313" s="16" t="str">
        <f t="shared" si="49"/>
        <v>Valid</v>
      </c>
      <c r="M313" s="16" t="str">
        <f t="shared" si="50"/>
        <v>Valid</v>
      </c>
      <c r="N313" s="17" t="str">
        <f t="shared" si="51"/>
        <v>Increasing Pressure</v>
      </c>
      <c r="O313" s="16">
        <f t="shared" si="52"/>
        <v>0.65165165165165162</v>
      </c>
      <c r="P313" s="14">
        <f t="shared" si="54"/>
        <v>7778.1428571428569</v>
      </c>
      <c r="Q313" s="16">
        <f t="shared" si="53"/>
        <v>2918.4580782596145</v>
      </c>
    </row>
    <row r="314" spans="1:17" x14ac:dyDescent="0.3">
      <c r="A314" s="13">
        <v>45410</v>
      </c>
      <c r="B314" s="13" t="str">
        <f t="shared" si="44"/>
        <v>April</v>
      </c>
      <c r="C314" s="13" t="str">
        <f t="shared" si="45"/>
        <v>2024-04</v>
      </c>
      <c r="D314" s="8">
        <v>158</v>
      </c>
      <c r="E314" s="8">
        <v>349</v>
      </c>
      <c r="F314" s="8">
        <v>365</v>
      </c>
      <c r="G314" s="8">
        <v>7298</v>
      </c>
      <c r="H314" s="8">
        <v>250</v>
      </c>
      <c r="I314" s="14">
        <f t="shared" si="46"/>
        <v>7647</v>
      </c>
      <c r="J314" s="14">
        <f t="shared" si="47"/>
        <v>115</v>
      </c>
      <c r="K314" s="15">
        <f t="shared" si="48"/>
        <v>2.3538642604943117E-3</v>
      </c>
      <c r="L314" s="16" t="str">
        <f t="shared" si="49"/>
        <v>Invalid</v>
      </c>
      <c r="M314" s="16" t="str">
        <f t="shared" si="50"/>
        <v>Valid</v>
      </c>
      <c r="N314" s="17" t="str">
        <f t="shared" si="51"/>
        <v>Increasing Pressure</v>
      </c>
      <c r="O314" s="16">
        <f t="shared" si="52"/>
        <v>0.68493150684931503</v>
      </c>
      <c r="P314" s="14">
        <f t="shared" si="54"/>
        <v>7809.5714285714284</v>
      </c>
      <c r="Q314" s="16">
        <f t="shared" si="53"/>
        <v>2918.4580782596145</v>
      </c>
    </row>
    <row r="315" spans="1:17" x14ac:dyDescent="0.3">
      <c r="A315" s="13">
        <v>45411</v>
      </c>
      <c r="B315" s="13" t="str">
        <f t="shared" si="44"/>
        <v>April</v>
      </c>
      <c r="C315" s="13" t="str">
        <f t="shared" si="45"/>
        <v>2024-04</v>
      </c>
      <c r="D315" s="8">
        <v>140</v>
      </c>
      <c r="E315" s="8">
        <v>292</v>
      </c>
      <c r="F315" s="8">
        <v>255</v>
      </c>
      <c r="G315" s="8">
        <v>7373</v>
      </c>
      <c r="H315" s="8">
        <v>187</v>
      </c>
      <c r="I315" s="14">
        <f t="shared" si="46"/>
        <v>7665</v>
      </c>
      <c r="J315" s="14">
        <f t="shared" si="47"/>
        <v>68</v>
      </c>
      <c r="K315" s="15">
        <f t="shared" si="48"/>
        <v>2.7266797129810828E-2</v>
      </c>
      <c r="L315" s="16" t="str">
        <f t="shared" si="49"/>
        <v>Valid</v>
      </c>
      <c r="M315" s="16" t="str">
        <f t="shared" si="50"/>
        <v>Valid</v>
      </c>
      <c r="N315" s="17" t="str">
        <f t="shared" si="51"/>
        <v>Increasing Pressure</v>
      </c>
      <c r="O315" s="16">
        <f t="shared" si="52"/>
        <v>0.73333333333333328</v>
      </c>
      <c r="P315" s="14">
        <f t="shared" si="54"/>
        <v>7845.7142857142853</v>
      </c>
      <c r="Q315" s="16">
        <f t="shared" si="53"/>
        <v>2918.4580782596145</v>
      </c>
    </row>
    <row r="316" spans="1:17" x14ac:dyDescent="0.3">
      <c r="A316" s="13">
        <v>45412</v>
      </c>
      <c r="B316" s="13" t="str">
        <f t="shared" si="44"/>
        <v>April</v>
      </c>
      <c r="C316" s="13" t="str">
        <f t="shared" si="45"/>
        <v>2024-04</v>
      </c>
      <c r="D316" s="8">
        <v>220</v>
      </c>
      <c r="E316" s="8">
        <v>443</v>
      </c>
      <c r="F316" s="8">
        <v>194</v>
      </c>
      <c r="G316" s="8">
        <v>7431</v>
      </c>
      <c r="H316" s="8">
        <v>135</v>
      </c>
      <c r="I316" s="14">
        <f t="shared" si="46"/>
        <v>7874</v>
      </c>
      <c r="J316" s="14">
        <f t="shared" si="47"/>
        <v>59</v>
      </c>
      <c r="K316" s="15">
        <f t="shared" si="48"/>
        <v>9.0170180340360673E-3</v>
      </c>
      <c r="L316" s="16" t="str">
        <f t="shared" si="49"/>
        <v>Valid</v>
      </c>
      <c r="M316" s="16" t="str">
        <f t="shared" si="50"/>
        <v>Valid</v>
      </c>
      <c r="N316" s="17" t="str">
        <f t="shared" si="51"/>
        <v>Increasing Pressure</v>
      </c>
      <c r="O316" s="16">
        <f t="shared" si="52"/>
        <v>0.69587628865979378</v>
      </c>
      <c r="P316" s="14">
        <f t="shared" si="54"/>
        <v>7887.4285714285716</v>
      </c>
      <c r="Q316" s="16">
        <f t="shared" si="53"/>
        <v>2918.4580782596145</v>
      </c>
    </row>
    <row r="317" spans="1:17" x14ac:dyDescent="0.3">
      <c r="A317" s="13">
        <v>45413</v>
      </c>
      <c r="B317" s="13" t="str">
        <f t="shared" si="44"/>
        <v>May</v>
      </c>
      <c r="C317" s="13" t="str">
        <f t="shared" si="45"/>
        <v>2024-05</v>
      </c>
      <c r="D317" s="8">
        <v>197</v>
      </c>
      <c r="E317" s="8">
        <v>437</v>
      </c>
      <c r="F317" s="8">
        <v>295</v>
      </c>
      <c r="G317" s="8">
        <v>7508</v>
      </c>
      <c r="H317" s="8">
        <v>190</v>
      </c>
      <c r="I317" s="14">
        <f t="shared" si="46"/>
        <v>7945</v>
      </c>
      <c r="J317" s="14">
        <f t="shared" si="47"/>
        <v>105</v>
      </c>
      <c r="K317" s="15">
        <f t="shared" si="48"/>
        <v>5.4122089364380113E-3</v>
      </c>
      <c r="L317" s="16" t="str">
        <f t="shared" si="49"/>
        <v>Valid</v>
      </c>
      <c r="M317" s="16" t="str">
        <f t="shared" si="50"/>
        <v>Valid</v>
      </c>
      <c r="N317" s="17" t="str">
        <f t="shared" si="51"/>
        <v>Increasing Pressure</v>
      </c>
      <c r="O317" s="16">
        <f t="shared" si="52"/>
        <v>0.64406779661016944</v>
      </c>
      <c r="P317" s="14">
        <f t="shared" si="54"/>
        <v>7884.7142857142853</v>
      </c>
      <c r="Q317" s="16">
        <f t="shared" si="53"/>
        <v>2918.4580782596145</v>
      </c>
    </row>
    <row r="318" spans="1:17" x14ac:dyDescent="0.3">
      <c r="A318" s="13">
        <v>45414</v>
      </c>
      <c r="B318" s="13" t="str">
        <f t="shared" si="44"/>
        <v>May</v>
      </c>
      <c r="C318" s="13" t="str">
        <f t="shared" si="45"/>
        <v>2024-05</v>
      </c>
      <c r="D318" s="8">
        <v>206</v>
      </c>
      <c r="E318" s="8">
        <v>411</v>
      </c>
      <c r="F318" s="8">
        <v>293</v>
      </c>
      <c r="G318" s="8">
        <v>7577</v>
      </c>
      <c r="H318" s="8">
        <v>194</v>
      </c>
      <c r="I318" s="14">
        <f t="shared" si="46"/>
        <v>7988</v>
      </c>
      <c r="J318" s="14">
        <f t="shared" si="47"/>
        <v>99</v>
      </c>
      <c r="K318" s="15">
        <f t="shared" si="48"/>
        <v>-2.829243865798698E-2</v>
      </c>
      <c r="L318" s="16" t="str">
        <f t="shared" si="49"/>
        <v>Valid</v>
      </c>
      <c r="M318" s="16" t="str">
        <f t="shared" si="50"/>
        <v>Valid</v>
      </c>
      <c r="N318" s="17" t="str">
        <f t="shared" si="51"/>
        <v>Increasing Pressure</v>
      </c>
      <c r="O318" s="16">
        <f t="shared" si="52"/>
        <v>0.66211604095563137</v>
      </c>
      <c r="P318" s="14">
        <f t="shared" si="54"/>
        <v>7859</v>
      </c>
      <c r="Q318" s="16">
        <f t="shared" si="53"/>
        <v>2918.4580782596145</v>
      </c>
    </row>
    <row r="319" spans="1:17" x14ac:dyDescent="0.3">
      <c r="A319" s="13">
        <v>45417</v>
      </c>
      <c r="B319" s="13" t="str">
        <f t="shared" si="44"/>
        <v>May</v>
      </c>
      <c r="C319" s="13" t="str">
        <f t="shared" si="45"/>
        <v>2024-05</v>
      </c>
      <c r="D319" s="8">
        <v>150</v>
      </c>
      <c r="E319" s="8">
        <v>315</v>
      </c>
      <c r="F319" s="8">
        <v>228</v>
      </c>
      <c r="G319" s="8">
        <v>7447</v>
      </c>
      <c r="H319" s="8">
        <v>332</v>
      </c>
      <c r="I319" s="14">
        <f t="shared" si="46"/>
        <v>7762</v>
      </c>
      <c r="J319" s="14">
        <f t="shared" si="47"/>
        <v>-104</v>
      </c>
      <c r="K319" s="15">
        <f t="shared" si="48"/>
        <v>3.0919866013913938E-3</v>
      </c>
      <c r="L319" s="16" t="str">
        <f t="shared" si="49"/>
        <v>Valid</v>
      </c>
      <c r="M319" s="16" t="str">
        <f t="shared" si="50"/>
        <v>Valid</v>
      </c>
      <c r="N319" s="17" t="str">
        <f t="shared" si="51"/>
        <v>Stable/Reducing</v>
      </c>
      <c r="O319" s="16">
        <f t="shared" si="52"/>
        <v>1.4561403508771931</v>
      </c>
      <c r="P319" s="14">
        <f t="shared" si="54"/>
        <v>7836.4285714285716</v>
      </c>
      <c r="Q319" s="16">
        <f t="shared" si="53"/>
        <v>2918.4580782596145</v>
      </c>
    </row>
    <row r="320" spans="1:17" x14ac:dyDescent="0.3">
      <c r="A320" s="13">
        <v>45418</v>
      </c>
      <c r="B320" s="13" t="str">
        <f t="shared" si="44"/>
        <v>May</v>
      </c>
      <c r="C320" s="13" t="str">
        <f t="shared" si="45"/>
        <v>2024-05</v>
      </c>
      <c r="D320" s="8">
        <v>173</v>
      </c>
      <c r="E320" s="8">
        <v>337</v>
      </c>
      <c r="F320" s="8">
        <v>211</v>
      </c>
      <c r="G320" s="8">
        <v>7449</v>
      </c>
      <c r="H320" s="8">
        <v>205</v>
      </c>
      <c r="I320" s="14">
        <f t="shared" si="46"/>
        <v>7786</v>
      </c>
      <c r="J320" s="14">
        <f t="shared" si="47"/>
        <v>6</v>
      </c>
      <c r="K320" s="15">
        <f t="shared" si="48"/>
        <v>1.4641664526072438E-2</v>
      </c>
      <c r="L320" s="16" t="str">
        <f t="shared" si="49"/>
        <v>Valid</v>
      </c>
      <c r="M320" s="16" t="str">
        <f t="shared" si="50"/>
        <v>Valid</v>
      </c>
      <c r="N320" s="17" t="str">
        <f t="shared" si="51"/>
        <v>Increasing Pressure</v>
      </c>
      <c r="O320" s="16">
        <f t="shared" si="52"/>
        <v>0.97156398104265407</v>
      </c>
      <c r="P320" s="14">
        <f t="shared" si="54"/>
        <v>7865.4285714285716</v>
      </c>
      <c r="Q320" s="16">
        <f t="shared" si="53"/>
        <v>2918.4580782596145</v>
      </c>
    </row>
    <row r="321" spans="1:17" x14ac:dyDescent="0.3">
      <c r="A321" s="13">
        <v>45419</v>
      </c>
      <c r="B321" s="13" t="str">
        <f t="shared" si="44"/>
        <v>May</v>
      </c>
      <c r="C321" s="13" t="str">
        <f t="shared" si="45"/>
        <v>2024-05</v>
      </c>
      <c r="D321" s="8">
        <v>176</v>
      </c>
      <c r="E321" s="8">
        <v>334</v>
      </c>
      <c r="F321" s="8">
        <v>246</v>
      </c>
      <c r="G321" s="8">
        <v>7566</v>
      </c>
      <c r="H321" s="8">
        <v>163</v>
      </c>
      <c r="I321" s="14">
        <f t="shared" si="46"/>
        <v>7900</v>
      </c>
      <c r="J321" s="14">
        <f t="shared" si="47"/>
        <v>83</v>
      </c>
      <c r="K321" s="15">
        <f t="shared" si="48"/>
        <v>7.2151898734177213E-3</v>
      </c>
      <c r="L321" s="16" t="str">
        <f t="shared" si="49"/>
        <v>Valid</v>
      </c>
      <c r="M321" s="16" t="str">
        <f t="shared" si="50"/>
        <v>Valid</v>
      </c>
      <c r="N321" s="17" t="str">
        <f t="shared" si="51"/>
        <v>Increasing Pressure</v>
      </c>
      <c r="O321" s="16">
        <f t="shared" si="52"/>
        <v>0.66260162601626016</v>
      </c>
      <c r="P321" s="14">
        <f t="shared" si="54"/>
        <v>7878</v>
      </c>
      <c r="Q321" s="16">
        <f t="shared" si="53"/>
        <v>2918.4580782596145</v>
      </c>
    </row>
    <row r="322" spans="1:17" x14ac:dyDescent="0.3">
      <c r="A322" s="13">
        <v>45420</v>
      </c>
      <c r="B322" s="13" t="str">
        <f t="shared" ref="B322:B385" si="55">TEXT(A322, "mmmm")</f>
        <v>May</v>
      </c>
      <c r="C322" s="13" t="str">
        <f t="shared" ref="C322:C385" si="56">TEXT(A322, "yyyy-mm")</f>
        <v>2024-05</v>
      </c>
      <c r="D322" s="8">
        <v>167</v>
      </c>
      <c r="E322" s="8">
        <v>374</v>
      </c>
      <c r="F322" s="8">
        <v>205</v>
      </c>
      <c r="G322" s="8">
        <v>7583</v>
      </c>
      <c r="H322" s="8">
        <v>202</v>
      </c>
      <c r="I322" s="14">
        <f t="shared" ref="I322:I385" si="57">SUM(G322+E322)</f>
        <v>7957</v>
      </c>
      <c r="J322" s="14">
        <f t="shared" ref="J322:J385" si="58">F322-H322</f>
        <v>3</v>
      </c>
      <c r="K322" s="15">
        <f t="shared" ref="K322:K385" si="59">(I323-I322)/I322</f>
        <v>-1.2818901596078925E-2</v>
      </c>
      <c r="L322" s="16" t="str">
        <f t="shared" ref="L322:L385" si="60">IF(F322&lt;=E322, "Valid", "Invalid")</f>
        <v>Valid</v>
      </c>
      <c r="M322" s="16" t="str">
        <f t="shared" ref="M322:M385" si="61">IF(H322&lt;=G322, "Valid", "Invalid")</f>
        <v>Valid</v>
      </c>
      <c r="N322" s="17" t="str">
        <f t="shared" ref="N322:N385" si="62">IF(J322&gt;0, "Increasing Pressure", "Stable/Reducing")</f>
        <v>Increasing Pressure</v>
      </c>
      <c r="O322" s="16">
        <f t="shared" ref="O322:O385" si="63">IFERROR(H322/F322, 0)</f>
        <v>0.98536585365853657</v>
      </c>
      <c r="P322" s="14">
        <f t="shared" si="54"/>
        <v>7878.7142857142853</v>
      </c>
      <c r="Q322" s="16">
        <f t="shared" ref="Q322:Q385" si="64">_xlfn.STDEV.S(I:I)</f>
        <v>2918.4580782596145</v>
      </c>
    </row>
    <row r="323" spans="1:17" x14ac:dyDescent="0.3">
      <c r="A323" s="13">
        <v>45421</v>
      </c>
      <c r="B323" s="13" t="str">
        <f t="shared" si="55"/>
        <v>May</v>
      </c>
      <c r="C323" s="13" t="str">
        <f t="shared" si="56"/>
        <v>2024-05</v>
      </c>
      <c r="D323" s="8">
        <v>138</v>
      </c>
      <c r="E323" s="8">
        <v>285</v>
      </c>
      <c r="F323" s="8">
        <v>268</v>
      </c>
      <c r="G323" s="8">
        <v>7570</v>
      </c>
      <c r="H323" s="8">
        <v>244</v>
      </c>
      <c r="I323" s="14">
        <f t="shared" si="57"/>
        <v>7855</v>
      </c>
      <c r="J323" s="14">
        <f t="shared" si="58"/>
        <v>24</v>
      </c>
      <c r="K323" s="15">
        <f t="shared" si="59"/>
        <v>-1.1457670273711012E-2</v>
      </c>
      <c r="L323" s="16" t="str">
        <f t="shared" si="60"/>
        <v>Valid</v>
      </c>
      <c r="M323" s="16" t="str">
        <f t="shared" si="61"/>
        <v>Valid</v>
      </c>
      <c r="N323" s="17" t="str">
        <f t="shared" si="62"/>
        <v>Increasing Pressure</v>
      </c>
      <c r="O323" s="16">
        <f t="shared" si="63"/>
        <v>0.91044776119402981</v>
      </c>
      <c r="P323" s="14">
        <f t="shared" ref="P323:P386" si="65">AVERAGE(I323:I329)</f>
        <v>7835</v>
      </c>
      <c r="Q323" s="16">
        <f t="shared" si="64"/>
        <v>2918.4580782596145</v>
      </c>
    </row>
    <row r="324" spans="1:17" x14ac:dyDescent="0.3">
      <c r="A324" s="13">
        <v>45424</v>
      </c>
      <c r="B324" s="13" t="str">
        <f t="shared" si="55"/>
        <v>May</v>
      </c>
      <c r="C324" s="13" t="str">
        <f t="shared" si="56"/>
        <v>2024-05</v>
      </c>
      <c r="D324" s="8">
        <v>138</v>
      </c>
      <c r="E324" s="8">
        <v>301</v>
      </c>
      <c r="F324" s="8">
        <v>263</v>
      </c>
      <c r="G324" s="8">
        <v>7464</v>
      </c>
      <c r="H324" s="8">
        <v>245</v>
      </c>
      <c r="I324" s="14">
        <f t="shared" si="57"/>
        <v>7765</v>
      </c>
      <c r="J324" s="14">
        <f t="shared" si="58"/>
        <v>18</v>
      </c>
      <c r="K324" s="15">
        <f t="shared" si="59"/>
        <v>8.3708950418544745E-3</v>
      </c>
      <c r="L324" s="16" t="str">
        <f t="shared" si="60"/>
        <v>Valid</v>
      </c>
      <c r="M324" s="16" t="str">
        <f t="shared" si="61"/>
        <v>Valid</v>
      </c>
      <c r="N324" s="17" t="str">
        <f t="shared" si="62"/>
        <v>Increasing Pressure</v>
      </c>
      <c r="O324" s="16">
        <f t="shared" si="63"/>
        <v>0.9315589353612167</v>
      </c>
      <c r="P324" s="14">
        <f t="shared" si="65"/>
        <v>7803.7142857142853</v>
      </c>
      <c r="Q324" s="16">
        <f t="shared" si="64"/>
        <v>2918.4580782596145</v>
      </c>
    </row>
    <row r="325" spans="1:17" x14ac:dyDescent="0.3">
      <c r="A325" s="13">
        <v>45425</v>
      </c>
      <c r="B325" s="13" t="str">
        <f t="shared" si="55"/>
        <v>May</v>
      </c>
      <c r="C325" s="13" t="str">
        <f t="shared" si="56"/>
        <v>2024-05</v>
      </c>
      <c r="D325" s="8">
        <v>112</v>
      </c>
      <c r="E325" s="8">
        <v>331</v>
      </c>
      <c r="F325" s="8">
        <v>167</v>
      </c>
      <c r="G325" s="8">
        <v>7499</v>
      </c>
      <c r="H325" s="8">
        <v>157</v>
      </c>
      <c r="I325" s="14">
        <f t="shared" si="57"/>
        <v>7830</v>
      </c>
      <c r="J325" s="14">
        <f t="shared" si="58"/>
        <v>10</v>
      </c>
      <c r="K325" s="15">
        <f t="shared" si="59"/>
        <v>1.7241379310344827E-2</v>
      </c>
      <c r="L325" s="16" t="str">
        <f t="shared" si="60"/>
        <v>Valid</v>
      </c>
      <c r="M325" s="16" t="str">
        <f t="shared" si="61"/>
        <v>Valid</v>
      </c>
      <c r="N325" s="17" t="str">
        <f t="shared" si="62"/>
        <v>Increasing Pressure</v>
      </c>
      <c r="O325" s="16">
        <f t="shared" si="63"/>
        <v>0.94011976047904189</v>
      </c>
      <c r="P325" s="14">
        <f t="shared" si="65"/>
        <v>7801.8571428571431</v>
      </c>
      <c r="Q325" s="16">
        <f t="shared" si="64"/>
        <v>2918.4580782596145</v>
      </c>
    </row>
    <row r="326" spans="1:17" x14ac:dyDescent="0.3">
      <c r="A326" s="13">
        <v>45426</v>
      </c>
      <c r="B326" s="13" t="str">
        <f t="shared" si="55"/>
        <v>May</v>
      </c>
      <c r="C326" s="13" t="str">
        <f t="shared" si="56"/>
        <v>2024-05</v>
      </c>
      <c r="D326" s="8">
        <v>246</v>
      </c>
      <c r="E326" s="8">
        <v>419</v>
      </c>
      <c r="F326" s="8">
        <v>218</v>
      </c>
      <c r="G326" s="8">
        <v>7546</v>
      </c>
      <c r="H326" s="8">
        <v>186</v>
      </c>
      <c r="I326" s="14">
        <f t="shared" si="57"/>
        <v>7965</v>
      </c>
      <c r="J326" s="14">
        <f t="shared" si="58"/>
        <v>32</v>
      </c>
      <c r="K326" s="15">
        <f t="shared" si="59"/>
        <v>-1.1424984306340239E-2</v>
      </c>
      <c r="L326" s="16" t="str">
        <f t="shared" si="60"/>
        <v>Valid</v>
      </c>
      <c r="M326" s="16" t="str">
        <f t="shared" si="61"/>
        <v>Valid</v>
      </c>
      <c r="N326" s="17" t="str">
        <f t="shared" si="62"/>
        <v>Increasing Pressure</v>
      </c>
      <c r="O326" s="16">
        <f t="shared" si="63"/>
        <v>0.85321100917431192</v>
      </c>
      <c r="P326" s="14">
        <f t="shared" si="65"/>
        <v>7800.8571428571431</v>
      </c>
      <c r="Q326" s="16">
        <f t="shared" si="64"/>
        <v>2918.4580782596145</v>
      </c>
    </row>
    <row r="327" spans="1:17" x14ac:dyDescent="0.3">
      <c r="A327" s="13">
        <v>45427</v>
      </c>
      <c r="B327" s="13" t="str">
        <f t="shared" si="55"/>
        <v>May</v>
      </c>
      <c r="C327" s="13" t="str">
        <f t="shared" si="56"/>
        <v>2024-05</v>
      </c>
      <c r="D327" s="8">
        <v>115</v>
      </c>
      <c r="E327" s="8">
        <v>285</v>
      </c>
      <c r="F327" s="8">
        <v>341</v>
      </c>
      <c r="G327" s="8">
        <v>7589</v>
      </c>
      <c r="H327" s="8">
        <v>265</v>
      </c>
      <c r="I327" s="14">
        <f t="shared" si="57"/>
        <v>7874</v>
      </c>
      <c r="J327" s="14">
        <f t="shared" si="58"/>
        <v>76</v>
      </c>
      <c r="K327" s="15">
        <f t="shared" si="59"/>
        <v>3.937007874015748E-3</v>
      </c>
      <c r="L327" s="16" t="str">
        <f t="shared" si="60"/>
        <v>Invalid</v>
      </c>
      <c r="M327" s="16" t="str">
        <f t="shared" si="61"/>
        <v>Valid</v>
      </c>
      <c r="N327" s="17" t="str">
        <f t="shared" si="62"/>
        <v>Increasing Pressure</v>
      </c>
      <c r="O327" s="16">
        <f t="shared" si="63"/>
        <v>0.77712609970674484</v>
      </c>
      <c r="P327" s="14">
        <f t="shared" si="65"/>
        <v>7772.4285714285716</v>
      </c>
      <c r="Q327" s="16">
        <f t="shared" si="64"/>
        <v>2918.4580782596145</v>
      </c>
    </row>
    <row r="328" spans="1:17" x14ac:dyDescent="0.3">
      <c r="A328" s="13">
        <v>45428</v>
      </c>
      <c r="B328" s="13" t="str">
        <f t="shared" si="55"/>
        <v>May</v>
      </c>
      <c r="C328" s="13" t="str">
        <f t="shared" si="56"/>
        <v>2024-05</v>
      </c>
      <c r="D328" s="8">
        <v>206</v>
      </c>
      <c r="E328" s="8">
        <v>340</v>
      </c>
      <c r="F328" s="8">
        <v>214</v>
      </c>
      <c r="G328" s="8">
        <v>7565</v>
      </c>
      <c r="H328" s="8">
        <v>234</v>
      </c>
      <c r="I328" s="14">
        <f t="shared" si="57"/>
        <v>7905</v>
      </c>
      <c r="J328" s="14">
        <f t="shared" si="58"/>
        <v>-20</v>
      </c>
      <c r="K328" s="15">
        <f t="shared" si="59"/>
        <v>-3.2131562302340294E-2</v>
      </c>
      <c r="L328" s="16" t="str">
        <f t="shared" si="60"/>
        <v>Valid</v>
      </c>
      <c r="M328" s="16" t="str">
        <f t="shared" si="61"/>
        <v>Valid</v>
      </c>
      <c r="N328" s="17" t="str">
        <f t="shared" si="62"/>
        <v>Stable/Reducing</v>
      </c>
      <c r="O328" s="16">
        <f t="shared" si="63"/>
        <v>1.0934579439252337</v>
      </c>
      <c r="P328" s="14">
        <f t="shared" si="65"/>
        <v>7748.8571428571431</v>
      </c>
      <c r="Q328" s="16">
        <f t="shared" si="64"/>
        <v>2918.4580782596145</v>
      </c>
    </row>
    <row r="329" spans="1:17" x14ac:dyDescent="0.3">
      <c r="A329" s="13">
        <v>45431</v>
      </c>
      <c r="B329" s="13" t="str">
        <f t="shared" si="55"/>
        <v>May</v>
      </c>
      <c r="C329" s="13" t="str">
        <f t="shared" si="56"/>
        <v>2024-05</v>
      </c>
      <c r="D329" s="8">
        <v>143</v>
      </c>
      <c r="E329" s="8">
        <v>295</v>
      </c>
      <c r="F329" s="8">
        <v>278</v>
      </c>
      <c r="G329" s="8">
        <v>7356</v>
      </c>
      <c r="H329" s="8">
        <v>298</v>
      </c>
      <c r="I329" s="14">
        <f t="shared" si="57"/>
        <v>7651</v>
      </c>
      <c r="J329" s="14">
        <f t="shared" si="58"/>
        <v>-20</v>
      </c>
      <c r="K329" s="15">
        <f t="shared" si="59"/>
        <v>-1.9605280355509086E-3</v>
      </c>
      <c r="L329" s="16" t="str">
        <f t="shared" si="60"/>
        <v>Valid</v>
      </c>
      <c r="M329" s="16" t="str">
        <f t="shared" si="61"/>
        <v>Valid</v>
      </c>
      <c r="N329" s="17" t="str">
        <f t="shared" si="62"/>
        <v>Stable/Reducing</v>
      </c>
      <c r="O329" s="16">
        <f t="shared" si="63"/>
        <v>1.0719424460431655</v>
      </c>
      <c r="P329" s="14">
        <f t="shared" si="65"/>
        <v>7729</v>
      </c>
      <c r="Q329" s="16">
        <f t="shared" si="64"/>
        <v>2918.4580782596145</v>
      </c>
    </row>
    <row r="330" spans="1:17" x14ac:dyDescent="0.3">
      <c r="A330" s="13">
        <v>45432</v>
      </c>
      <c r="B330" s="13" t="str">
        <f t="shared" si="55"/>
        <v>May</v>
      </c>
      <c r="C330" s="13" t="str">
        <f t="shared" si="56"/>
        <v>2024-05</v>
      </c>
      <c r="D330" s="8">
        <v>111</v>
      </c>
      <c r="E330" s="8">
        <v>268</v>
      </c>
      <c r="F330" s="8">
        <v>217</v>
      </c>
      <c r="G330" s="8">
        <v>7368</v>
      </c>
      <c r="H330" s="8">
        <v>192</v>
      </c>
      <c r="I330" s="14">
        <f t="shared" si="57"/>
        <v>7636</v>
      </c>
      <c r="J330" s="14">
        <f t="shared" si="58"/>
        <v>25</v>
      </c>
      <c r="K330" s="15">
        <f t="shared" si="59"/>
        <v>1.5191199580932426E-2</v>
      </c>
      <c r="L330" s="16" t="str">
        <f t="shared" si="60"/>
        <v>Valid</v>
      </c>
      <c r="M330" s="16" t="str">
        <f t="shared" si="61"/>
        <v>Valid</v>
      </c>
      <c r="N330" s="17" t="str">
        <f t="shared" si="62"/>
        <v>Increasing Pressure</v>
      </c>
      <c r="O330" s="16">
        <f t="shared" si="63"/>
        <v>0.88479262672811065</v>
      </c>
      <c r="P330" s="14">
        <f t="shared" si="65"/>
        <v>7772.1428571428569</v>
      </c>
      <c r="Q330" s="16">
        <f t="shared" si="64"/>
        <v>2918.4580782596145</v>
      </c>
    </row>
    <row r="331" spans="1:17" x14ac:dyDescent="0.3">
      <c r="A331" s="13">
        <v>45433</v>
      </c>
      <c r="B331" s="13" t="str">
        <f t="shared" si="55"/>
        <v>May</v>
      </c>
      <c r="C331" s="13" t="str">
        <f t="shared" si="56"/>
        <v>2024-05</v>
      </c>
      <c r="D331" s="8">
        <v>196</v>
      </c>
      <c r="E331" s="8">
        <v>348</v>
      </c>
      <c r="F331" s="8">
        <v>176</v>
      </c>
      <c r="G331" s="8">
        <v>7404</v>
      </c>
      <c r="H331" s="8">
        <v>145</v>
      </c>
      <c r="I331" s="14">
        <f t="shared" si="57"/>
        <v>7752</v>
      </c>
      <c r="J331" s="14">
        <f t="shared" si="58"/>
        <v>31</v>
      </c>
      <c r="K331" s="15">
        <f t="shared" si="59"/>
        <v>9.1589267285861718E-3</v>
      </c>
      <c r="L331" s="16" t="str">
        <f t="shared" si="60"/>
        <v>Valid</v>
      </c>
      <c r="M331" s="16" t="str">
        <f t="shared" si="61"/>
        <v>Valid</v>
      </c>
      <c r="N331" s="17" t="str">
        <f t="shared" si="62"/>
        <v>Increasing Pressure</v>
      </c>
      <c r="O331" s="16">
        <f t="shared" si="63"/>
        <v>0.82386363636363635</v>
      </c>
      <c r="P331" s="14">
        <f t="shared" si="65"/>
        <v>7819.7142857142853</v>
      </c>
      <c r="Q331" s="16">
        <f t="shared" si="64"/>
        <v>2918.4580782596145</v>
      </c>
    </row>
    <row r="332" spans="1:17" x14ac:dyDescent="0.3">
      <c r="A332" s="13">
        <v>45434</v>
      </c>
      <c r="B332" s="13" t="str">
        <f t="shared" si="55"/>
        <v>May</v>
      </c>
      <c r="C332" s="13" t="str">
        <f t="shared" si="56"/>
        <v>2024-05</v>
      </c>
      <c r="D332" s="8">
        <v>168</v>
      </c>
      <c r="E332" s="8">
        <v>349</v>
      </c>
      <c r="F332" s="8">
        <v>272</v>
      </c>
      <c r="G332" s="8">
        <v>7474</v>
      </c>
      <c r="H332" s="8">
        <v>208</v>
      </c>
      <c r="I332" s="14">
        <f t="shared" si="57"/>
        <v>7823</v>
      </c>
      <c r="J332" s="14">
        <f t="shared" si="58"/>
        <v>64</v>
      </c>
      <c r="K332" s="15">
        <f t="shared" si="59"/>
        <v>-7.2862073373386165E-3</v>
      </c>
      <c r="L332" s="16" t="str">
        <f t="shared" si="60"/>
        <v>Valid</v>
      </c>
      <c r="M332" s="16" t="str">
        <f t="shared" si="61"/>
        <v>Valid</v>
      </c>
      <c r="N332" s="17" t="str">
        <f t="shared" si="62"/>
        <v>Increasing Pressure</v>
      </c>
      <c r="O332" s="16">
        <f t="shared" si="63"/>
        <v>0.76470588235294112</v>
      </c>
      <c r="P332" s="14">
        <f t="shared" si="65"/>
        <v>7837.4285714285716</v>
      </c>
      <c r="Q332" s="16">
        <f t="shared" si="64"/>
        <v>2918.4580782596145</v>
      </c>
    </row>
    <row r="333" spans="1:17" x14ac:dyDescent="0.3">
      <c r="A333" s="13">
        <v>45435</v>
      </c>
      <c r="B333" s="13" t="str">
        <f t="shared" si="55"/>
        <v>May</v>
      </c>
      <c r="C333" s="13" t="str">
        <f t="shared" si="56"/>
        <v>2024-05</v>
      </c>
      <c r="D333" s="8">
        <v>193</v>
      </c>
      <c r="E333" s="8">
        <v>272</v>
      </c>
      <c r="F333" s="8">
        <v>314</v>
      </c>
      <c r="G333" s="8">
        <v>7494</v>
      </c>
      <c r="H333" s="8">
        <v>227</v>
      </c>
      <c r="I333" s="14">
        <f t="shared" si="57"/>
        <v>7766</v>
      </c>
      <c r="J333" s="14">
        <f t="shared" si="58"/>
        <v>87</v>
      </c>
      <c r="K333" s="15">
        <f t="shared" si="59"/>
        <v>-7.3396858099407675E-3</v>
      </c>
      <c r="L333" s="16" t="str">
        <f t="shared" si="60"/>
        <v>Invalid</v>
      </c>
      <c r="M333" s="16" t="str">
        <f t="shared" si="61"/>
        <v>Valid</v>
      </c>
      <c r="N333" s="17" t="str">
        <f t="shared" si="62"/>
        <v>Increasing Pressure</v>
      </c>
      <c r="O333" s="16">
        <f t="shared" si="63"/>
        <v>0.72292993630573243</v>
      </c>
      <c r="P333" s="14">
        <f t="shared" si="65"/>
        <v>7839.8571428571431</v>
      </c>
      <c r="Q333" s="16">
        <f t="shared" si="64"/>
        <v>2918.4580782596145</v>
      </c>
    </row>
    <row r="334" spans="1:17" x14ac:dyDescent="0.3">
      <c r="A334" s="13">
        <v>45439</v>
      </c>
      <c r="B334" s="13" t="str">
        <f t="shared" si="55"/>
        <v>May</v>
      </c>
      <c r="C334" s="13" t="str">
        <f t="shared" si="56"/>
        <v>2024-05</v>
      </c>
      <c r="D334" s="8">
        <v>156</v>
      </c>
      <c r="E334" s="8">
        <v>344</v>
      </c>
      <c r="F334" s="8">
        <v>252</v>
      </c>
      <c r="G334" s="8">
        <v>7365</v>
      </c>
      <c r="H334" s="8">
        <v>167</v>
      </c>
      <c r="I334" s="14">
        <f t="shared" si="57"/>
        <v>7709</v>
      </c>
      <c r="J334" s="14">
        <f t="shared" si="58"/>
        <v>85</v>
      </c>
      <c r="K334" s="15">
        <f t="shared" si="59"/>
        <v>7.3939551173952522E-3</v>
      </c>
      <c r="L334" s="16" t="str">
        <f t="shared" si="60"/>
        <v>Valid</v>
      </c>
      <c r="M334" s="16" t="str">
        <f t="shared" si="61"/>
        <v>Valid</v>
      </c>
      <c r="N334" s="17" t="str">
        <f t="shared" si="62"/>
        <v>Increasing Pressure</v>
      </c>
      <c r="O334" s="16">
        <f t="shared" si="63"/>
        <v>0.66269841269841268</v>
      </c>
      <c r="P334" s="14">
        <f t="shared" si="65"/>
        <v>7862</v>
      </c>
      <c r="Q334" s="16">
        <f t="shared" si="64"/>
        <v>2918.4580782596145</v>
      </c>
    </row>
    <row r="335" spans="1:17" x14ac:dyDescent="0.3">
      <c r="A335" s="13">
        <v>45440</v>
      </c>
      <c r="B335" s="13" t="str">
        <f t="shared" si="55"/>
        <v>May</v>
      </c>
      <c r="C335" s="13" t="str">
        <f t="shared" si="56"/>
        <v>2024-05</v>
      </c>
      <c r="D335" s="8">
        <v>153</v>
      </c>
      <c r="E335" s="8">
        <v>348</v>
      </c>
      <c r="F335" s="8">
        <v>239</v>
      </c>
      <c r="G335" s="8">
        <v>7418</v>
      </c>
      <c r="H335" s="8">
        <v>151</v>
      </c>
      <c r="I335" s="14">
        <f t="shared" si="57"/>
        <v>7766</v>
      </c>
      <c r="J335" s="14">
        <f t="shared" si="58"/>
        <v>88</v>
      </c>
      <c r="K335" s="15">
        <f t="shared" si="59"/>
        <v>2.4079320113314446E-2</v>
      </c>
      <c r="L335" s="16" t="str">
        <f t="shared" si="60"/>
        <v>Valid</v>
      </c>
      <c r="M335" s="16" t="str">
        <f t="shared" si="61"/>
        <v>Valid</v>
      </c>
      <c r="N335" s="17" t="str">
        <f t="shared" si="62"/>
        <v>Increasing Pressure</v>
      </c>
      <c r="O335" s="16">
        <f t="shared" si="63"/>
        <v>0.63179916317991636</v>
      </c>
      <c r="P335" s="14">
        <f t="shared" si="65"/>
        <v>7908.7142857142853</v>
      </c>
      <c r="Q335" s="16">
        <f t="shared" si="64"/>
        <v>2918.4580782596145</v>
      </c>
    </row>
    <row r="336" spans="1:17" x14ac:dyDescent="0.3">
      <c r="A336" s="13">
        <v>45441</v>
      </c>
      <c r="B336" s="13" t="str">
        <f t="shared" si="55"/>
        <v>May</v>
      </c>
      <c r="C336" s="13" t="str">
        <f t="shared" si="56"/>
        <v>2024-05</v>
      </c>
      <c r="D336" s="8">
        <v>182</v>
      </c>
      <c r="E336" s="8">
        <v>462</v>
      </c>
      <c r="F336" s="8">
        <v>158</v>
      </c>
      <c r="G336" s="8">
        <v>7491</v>
      </c>
      <c r="H336" s="8">
        <v>141</v>
      </c>
      <c r="I336" s="14">
        <f t="shared" si="57"/>
        <v>7953</v>
      </c>
      <c r="J336" s="14">
        <f t="shared" si="58"/>
        <v>17</v>
      </c>
      <c r="K336" s="15">
        <f t="shared" si="59"/>
        <v>2.0118194392053312E-3</v>
      </c>
      <c r="L336" s="16" t="str">
        <f t="shared" si="60"/>
        <v>Valid</v>
      </c>
      <c r="M336" s="16" t="str">
        <f t="shared" si="61"/>
        <v>Valid</v>
      </c>
      <c r="N336" s="17" t="str">
        <f t="shared" si="62"/>
        <v>Increasing Pressure</v>
      </c>
      <c r="O336" s="16">
        <f t="shared" si="63"/>
        <v>0.89240506329113922</v>
      </c>
      <c r="P336" s="14">
        <f t="shared" si="65"/>
        <v>7951.7142857142853</v>
      </c>
      <c r="Q336" s="16">
        <f t="shared" si="64"/>
        <v>2918.4580782596145</v>
      </c>
    </row>
    <row r="337" spans="1:17" x14ac:dyDescent="0.3">
      <c r="A337" s="13">
        <v>45442</v>
      </c>
      <c r="B337" s="13" t="str">
        <f t="shared" si="55"/>
        <v>May</v>
      </c>
      <c r="C337" s="13" t="str">
        <f t="shared" si="56"/>
        <v>2024-05</v>
      </c>
      <c r="D337" s="8">
        <v>167</v>
      </c>
      <c r="E337" s="8">
        <v>406</v>
      </c>
      <c r="F337" s="8">
        <v>339</v>
      </c>
      <c r="G337" s="8">
        <v>7563</v>
      </c>
      <c r="H337" s="8">
        <v>190</v>
      </c>
      <c r="I337" s="14">
        <f t="shared" si="57"/>
        <v>7969</v>
      </c>
      <c r="J337" s="14">
        <f t="shared" si="58"/>
        <v>149</v>
      </c>
      <c r="K337" s="15">
        <f t="shared" si="59"/>
        <v>-1.167022211067888E-2</v>
      </c>
      <c r="L337" s="16" t="str">
        <f t="shared" si="60"/>
        <v>Valid</v>
      </c>
      <c r="M337" s="16" t="str">
        <f t="shared" si="61"/>
        <v>Valid</v>
      </c>
      <c r="N337" s="17" t="str">
        <f t="shared" si="62"/>
        <v>Increasing Pressure</v>
      </c>
      <c r="O337" s="16">
        <f t="shared" si="63"/>
        <v>0.56047197640117996</v>
      </c>
      <c r="P337" s="14">
        <f t="shared" si="65"/>
        <v>7921.2857142857147</v>
      </c>
      <c r="Q337" s="16">
        <f t="shared" si="64"/>
        <v>2918.4580782596145</v>
      </c>
    </row>
    <row r="338" spans="1:17" x14ac:dyDescent="0.3">
      <c r="A338" s="13">
        <v>45445</v>
      </c>
      <c r="B338" s="13" t="str">
        <f t="shared" si="55"/>
        <v>June</v>
      </c>
      <c r="C338" s="13" t="str">
        <f t="shared" si="56"/>
        <v>2024-06</v>
      </c>
      <c r="D338" s="8">
        <v>159</v>
      </c>
      <c r="E338" s="8">
        <v>330</v>
      </c>
      <c r="F338" s="8">
        <v>322</v>
      </c>
      <c r="G338" s="8">
        <v>7546</v>
      </c>
      <c r="H338" s="8">
        <v>306</v>
      </c>
      <c r="I338" s="14">
        <f t="shared" si="57"/>
        <v>7876</v>
      </c>
      <c r="J338" s="14">
        <f t="shared" si="58"/>
        <v>16</v>
      </c>
      <c r="K338" s="15">
        <f t="shared" si="59"/>
        <v>-4.5708481462671405E-3</v>
      </c>
      <c r="L338" s="16" t="str">
        <f t="shared" si="60"/>
        <v>Valid</v>
      </c>
      <c r="M338" s="16" t="str">
        <f t="shared" si="61"/>
        <v>Valid</v>
      </c>
      <c r="N338" s="17" t="str">
        <f t="shared" si="62"/>
        <v>Increasing Pressure</v>
      </c>
      <c r="O338" s="16">
        <f t="shared" si="63"/>
        <v>0.9503105590062112</v>
      </c>
      <c r="P338" s="14">
        <f t="shared" si="65"/>
        <v>7893.2857142857147</v>
      </c>
      <c r="Q338" s="16">
        <f t="shared" si="64"/>
        <v>2918.4580782596145</v>
      </c>
    </row>
    <row r="339" spans="1:17" x14ac:dyDescent="0.3">
      <c r="A339" s="13">
        <v>45446</v>
      </c>
      <c r="B339" s="13" t="str">
        <f t="shared" si="55"/>
        <v>June</v>
      </c>
      <c r="C339" s="13" t="str">
        <f t="shared" si="56"/>
        <v>2024-06</v>
      </c>
      <c r="D339" s="8">
        <v>109</v>
      </c>
      <c r="E339" s="8">
        <v>244</v>
      </c>
      <c r="F339" s="8">
        <v>257</v>
      </c>
      <c r="G339" s="8">
        <v>7596</v>
      </c>
      <c r="H339" s="8">
        <v>224</v>
      </c>
      <c r="I339" s="14">
        <f t="shared" si="57"/>
        <v>7840</v>
      </c>
      <c r="J339" s="14">
        <f t="shared" si="58"/>
        <v>33</v>
      </c>
      <c r="K339" s="15">
        <f t="shared" si="59"/>
        <v>1.0331632653061225E-2</v>
      </c>
      <c r="L339" s="16" t="str">
        <f t="shared" si="60"/>
        <v>Invalid</v>
      </c>
      <c r="M339" s="16" t="str">
        <f t="shared" si="61"/>
        <v>Valid</v>
      </c>
      <c r="N339" s="17" t="str">
        <f t="shared" si="62"/>
        <v>Increasing Pressure</v>
      </c>
      <c r="O339" s="16">
        <f t="shared" si="63"/>
        <v>0.87159533073929962</v>
      </c>
      <c r="P339" s="14">
        <f t="shared" si="65"/>
        <v>7888.8571428571431</v>
      </c>
      <c r="Q339" s="16">
        <f t="shared" si="64"/>
        <v>2918.4580782596145</v>
      </c>
    </row>
    <row r="340" spans="1:17" x14ac:dyDescent="0.3">
      <c r="A340" s="13">
        <v>45447</v>
      </c>
      <c r="B340" s="13" t="str">
        <f t="shared" si="55"/>
        <v>June</v>
      </c>
      <c r="C340" s="13" t="str">
        <f t="shared" si="56"/>
        <v>2024-06</v>
      </c>
      <c r="D340" s="8">
        <v>260</v>
      </c>
      <c r="E340" s="8">
        <v>356</v>
      </c>
      <c r="F340" s="8">
        <v>176</v>
      </c>
      <c r="G340" s="8">
        <v>7565</v>
      </c>
      <c r="H340" s="8">
        <v>203</v>
      </c>
      <c r="I340" s="14">
        <f t="shared" si="57"/>
        <v>7921</v>
      </c>
      <c r="J340" s="14">
        <f t="shared" si="58"/>
        <v>-27</v>
      </c>
      <c r="K340" s="15">
        <f t="shared" si="59"/>
        <v>1.4518368892816564E-2</v>
      </c>
      <c r="L340" s="16" t="str">
        <f t="shared" si="60"/>
        <v>Valid</v>
      </c>
      <c r="M340" s="16" t="str">
        <f t="shared" si="61"/>
        <v>Valid</v>
      </c>
      <c r="N340" s="17" t="str">
        <f t="shared" si="62"/>
        <v>Stable/Reducing</v>
      </c>
      <c r="O340" s="16">
        <f t="shared" si="63"/>
        <v>1.1534090909090908</v>
      </c>
      <c r="P340" s="14">
        <f t="shared" si="65"/>
        <v>7885.1428571428569</v>
      </c>
      <c r="Q340" s="16">
        <f t="shared" si="64"/>
        <v>2918.4580782596145</v>
      </c>
    </row>
    <row r="341" spans="1:17" x14ac:dyDescent="0.3">
      <c r="A341" s="13">
        <v>45448</v>
      </c>
      <c r="B341" s="13" t="str">
        <f t="shared" si="55"/>
        <v>June</v>
      </c>
      <c r="C341" s="13" t="str">
        <f t="shared" si="56"/>
        <v>2024-06</v>
      </c>
      <c r="D341" s="8">
        <v>173</v>
      </c>
      <c r="E341" s="8">
        <v>345</v>
      </c>
      <c r="F341" s="8">
        <v>291</v>
      </c>
      <c r="G341" s="8">
        <v>7691</v>
      </c>
      <c r="H341" s="8">
        <v>198</v>
      </c>
      <c r="I341" s="14">
        <f t="shared" si="57"/>
        <v>8036</v>
      </c>
      <c r="J341" s="14">
        <f t="shared" si="58"/>
        <v>93</v>
      </c>
      <c r="K341" s="15">
        <f t="shared" si="59"/>
        <v>3.8576406172224987E-3</v>
      </c>
      <c r="L341" s="16" t="str">
        <f t="shared" si="60"/>
        <v>Valid</v>
      </c>
      <c r="M341" s="16" t="str">
        <f t="shared" si="61"/>
        <v>Valid</v>
      </c>
      <c r="N341" s="17" t="str">
        <f t="shared" si="62"/>
        <v>Increasing Pressure</v>
      </c>
      <c r="O341" s="16">
        <f t="shared" si="63"/>
        <v>0.68041237113402064</v>
      </c>
      <c r="P341" s="14">
        <f t="shared" si="65"/>
        <v>7873.1428571428569</v>
      </c>
      <c r="Q341" s="16">
        <f t="shared" si="64"/>
        <v>2918.4580782596145</v>
      </c>
    </row>
    <row r="342" spans="1:17" x14ac:dyDescent="0.3">
      <c r="A342" s="13">
        <v>45449</v>
      </c>
      <c r="B342" s="13" t="str">
        <f t="shared" si="55"/>
        <v>June</v>
      </c>
      <c r="C342" s="13" t="str">
        <f t="shared" si="56"/>
        <v>2024-06</v>
      </c>
      <c r="D342" s="8">
        <v>179</v>
      </c>
      <c r="E342" s="8">
        <v>326</v>
      </c>
      <c r="F342" s="8">
        <v>282</v>
      </c>
      <c r="G342" s="8">
        <v>7741</v>
      </c>
      <c r="H342" s="8">
        <v>238</v>
      </c>
      <c r="I342" s="14">
        <f t="shared" si="57"/>
        <v>8067</v>
      </c>
      <c r="J342" s="14">
        <f t="shared" si="58"/>
        <v>44</v>
      </c>
      <c r="K342" s="15">
        <f t="shared" si="59"/>
        <v>-4.0535515061361098E-2</v>
      </c>
      <c r="L342" s="16" t="str">
        <f t="shared" si="60"/>
        <v>Valid</v>
      </c>
      <c r="M342" s="16" t="str">
        <f t="shared" si="61"/>
        <v>Valid</v>
      </c>
      <c r="N342" s="17" t="str">
        <f t="shared" si="62"/>
        <v>Increasing Pressure</v>
      </c>
      <c r="O342" s="16">
        <f t="shared" si="63"/>
        <v>0.84397163120567376</v>
      </c>
      <c r="P342" s="14">
        <f t="shared" si="65"/>
        <v>7814</v>
      </c>
      <c r="Q342" s="16">
        <f t="shared" si="64"/>
        <v>2918.4580782596145</v>
      </c>
    </row>
    <row r="343" spans="1:17" x14ac:dyDescent="0.3">
      <c r="A343" s="13">
        <v>45452</v>
      </c>
      <c r="B343" s="13" t="str">
        <f t="shared" si="55"/>
        <v>June</v>
      </c>
      <c r="C343" s="13" t="str">
        <f t="shared" si="56"/>
        <v>2024-06</v>
      </c>
      <c r="D343" s="8">
        <v>116</v>
      </c>
      <c r="E343" s="8">
        <v>289</v>
      </c>
      <c r="F343" s="8">
        <v>166</v>
      </c>
      <c r="G343" s="8">
        <v>7451</v>
      </c>
      <c r="H343" s="8">
        <v>312</v>
      </c>
      <c r="I343" s="14">
        <f t="shared" si="57"/>
        <v>7740</v>
      </c>
      <c r="J343" s="14">
        <f t="shared" si="58"/>
        <v>-146</v>
      </c>
      <c r="K343" s="15">
        <f t="shared" si="59"/>
        <v>4.2635658914728682E-3</v>
      </c>
      <c r="L343" s="16" t="str">
        <f t="shared" si="60"/>
        <v>Valid</v>
      </c>
      <c r="M343" s="16" t="str">
        <f t="shared" si="61"/>
        <v>Valid</v>
      </c>
      <c r="N343" s="17" t="str">
        <f t="shared" si="62"/>
        <v>Stable/Reducing</v>
      </c>
      <c r="O343" s="16">
        <f t="shared" si="63"/>
        <v>1.8795180722891567</v>
      </c>
      <c r="P343" s="14">
        <f t="shared" si="65"/>
        <v>7751.2857142857147</v>
      </c>
      <c r="Q343" s="16">
        <f t="shared" si="64"/>
        <v>2918.4580782596145</v>
      </c>
    </row>
    <row r="344" spans="1:17" x14ac:dyDescent="0.3">
      <c r="A344" s="13">
        <v>45453</v>
      </c>
      <c r="B344" s="13" t="str">
        <f t="shared" si="55"/>
        <v>June</v>
      </c>
      <c r="C344" s="13" t="str">
        <f t="shared" si="56"/>
        <v>2024-06</v>
      </c>
      <c r="D344" s="8">
        <v>184</v>
      </c>
      <c r="E344" s="8">
        <v>334</v>
      </c>
      <c r="F344" s="8">
        <v>229</v>
      </c>
      <c r="G344" s="8">
        <v>7439</v>
      </c>
      <c r="H344" s="8">
        <v>212</v>
      </c>
      <c r="I344" s="14">
        <f t="shared" si="57"/>
        <v>7773</v>
      </c>
      <c r="J344" s="14">
        <f t="shared" si="58"/>
        <v>17</v>
      </c>
      <c r="K344" s="15">
        <f t="shared" si="59"/>
        <v>9.262832883056734E-3</v>
      </c>
      <c r="L344" s="16" t="str">
        <f t="shared" si="60"/>
        <v>Valid</v>
      </c>
      <c r="M344" s="16" t="str">
        <f t="shared" si="61"/>
        <v>Valid</v>
      </c>
      <c r="N344" s="17" t="str">
        <f t="shared" si="62"/>
        <v>Increasing Pressure</v>
      </c>
      <c r="O344" s="16">
        <f t="shared" si="63"/>
        <v>0.92576419213973804</v>
      </c>
      <c r="P344" s="14">
        <f t="shared" si="65"/>
        <v>7736.5714285714284</v>
      </c>
      <c r="Q344" s="16">
        <f t="shared" si="64"/>
        <v>2918.4580782596145</v>
      </c>
    </row>
    <row r="345" spans="1:17" x14ac:dyDescent="0.3">
      <c r="A345" s="13">
        <v>45454</v>
      </c>
      <c r="B345" s="13" t="str">
        <f t="shared" si="55"/>
        <v>June</v>
      </c>
      <c r="C345" s="13" t="str">
        <f t="shared" si="56"/>
        <v>2024-06</v>
      </c>
      <c r="D345" s="8">
        <v>186</v>
      </c>
      <c r="E345" s="8">
        <v>352</v>
      </c>
      <c r="F345" s="8">
        <v>224</v>
      </c>
      <c r="G345" s="8">
        <v>7493</v>
      </c>
      <c r="H345" s="8">
        <v>156</v>
      </c>
      <c r="I345" s="14">
        <f t="shared" si="57"/>
        <v>7845</v>
      </c>
      <c r="J345" s="14">
        <f t="shared" si="58"/>
        <v>68</v>
      </c>
      <c r="K345" s="15">
        <f t="shared" si="59"/>
        <v>-3.9515615041427659E-3</v>
      </c>
      <c r="L345" s="16" t="str">
        <f t="shared" si="60"/>
        <v>Valid</v>
      </c>
      <c r="M345" s="16" t="str">
        <f t="shared" si="61"/>
        <v>Valid</v>
      </c>
      <c r="N345" s="17" t="str">
        <f t="shared" si="62"/>
        <v>Increasing Pressure</v>
      </c>
      <c r="O345" s="16">
        <f t="shared" si="63"/>
        <v>0.6964285714285714</v>
      </c>
      <c r="P345" s="14">
        <f t="shared" si="65"/>
        <v>7733.8571428571431</v>
      </c>
      <c r="Q345" s="16">
        <f t="shared" si="64"/>
        <v>2918.4580782596145</v>
      </c>
    </row>
    <row r="346" spans="1:17" x14ac:dyDescent="0.3">
      <c r="A346" s="13">
        <v>45455</v>
      </c>
      <c r="B346" s="13" t="str">
        <f t="shared" si="55"/>
        <v>June</v>
      </c>
      <c r="C346" s="13" t="str">
        <f t="shared" si="56"/>
        <v>2024-06</v>
      </c>
      <c r="D346" s="8">
        <v>152</v>
      </c>
      <c r="E346" s="8">
        <v>266</v>
      </c>
      <c r="F346" s="8">
        <v>274</v>
      </c>
      <c r="G346" s="8">
        <v>7548</v>
      </c>
      <c r="H346" s="8">
        <v>212</v>
      </c>
      <c r="I346" s="14">
        <f t="shared" si="57"/>
        <v>7814</v>
      </c>
      <c r="J346" s="14">
        <f t="shared" si="58"/>
        <v>62</v>
      </c>
      <c r="K346" s="15">
        <f t="shared" si="59"/>
        <v>2.9434348605067826E-3</v>
      </c>
      <c r="L346" s="16" t="str">
        <f t="shared" si="60"/>
        <v>Invalid</v>
      </c>
      <c r="M346" s="16" t="str">
        <f t="shared" si="61"/>
        <v>Valid</v>
      </c>
      <c r="N346" s="17" t="str">
        <f t="shared" si="62"/>
        <v>Increasing Pressure</v>
      </c>
      <c r="O346" s="16">
        <f t="shared" si="63"/>
        <v>0.77372262773722633</v>
      </c>
      <c r="P346" s="14">
        <f t="shared" si="65"/>
        <v>7710</v>
      </c>
      <c r="Q346" s="16">
        <f t="shared" si="64"/>
        <v>2918.4580782596145</v>
      </c>
    </row>
    <row r="347" spans="1:17" x14ac:dyDescent="0.3">
      <c r="A347" s="13">
        <v>45456</v>
      </c>
      <c r="B347" s="13" t="str">
        <f t="shared" si="55"/>
        <v>June</v>
      </c>
      <c r="C347" s="13" t="str">
        <f t="shared" si="56"/>
        <v>2024-06</v>
      </c>
      <c r="D347" s="8">
        <v>167</v>
      </c>
      <c r="E347" s="8">
        <v>293</v>
      </c>
      <c r="F347" s="8">
        <v>230</v>
      </c>
      <c r="G347" s="8">
        <v>7544</v>
      </c>
      <c r="H347" s="8">
        <v>259</v>
      </c>
      <c r="I347" s="14">
        <f t="shared" si="57"/>
        <v>7837</v>
      </c>
      <c r="J347" s="14">
        <f t="shared" si="58"/>
        <v>-29</v>
      </c>
      <c r="K347" s="15">
        <f t="shared" si="59"/>
        <v>-2.7433967079239504E-2</v>
      </c>
      <c r="L347" s="16" t="str">
        <f t="shared" si="60"/>
        <v>Valid</v>
      </c>
      <c r="M347" s="16" t="str">
        <f t="shared" si="61"/>
        <v>Valid</v>
      </c>
      <c r="N347" s="17" t="str">
        <f t="shared" si="62"/>
        <v>Stable/Reducing</v>
      </c>
      <c r="O347" s="16">
        <f t="shared" si="63"/>
        <v>1.1260869565217391</v>
      </c>
      <c r="P347" s="14">
        <f t="shared" si="65"/>
        <v>7661.4285714285716</v>
      </c>
      <c r="Q347" s="16">
        <f t="shared" si="64"/>
        <v>2918.4580782596145</v>
      </c>
    </row>
    <row r="348" spans="1:17" x14ac:dyDescent="0.3">
      <c r="A348" s="13">
        <v>45459</v>
      </c>
      <c r="B348" s="13" t="str">
        <f t="shared" si="55"/>
        <v>June</v>
      </c>
      <c r="C348" s="13" t="str">
        <f t="shared" si="56"/>
        <v>2024-06</v>
      </c>
      <c r="D348" s="8">
        <v>204</v>
      </c>
      <c r="E348" s="8">
        <v>315</v>
      </c>
      <c r="F348" s="8">
        <v>233</v>
      </c>
      <c r="G348" s="8">
        <v>7307</v>
      </c>
      <c r="H348" s="8">
        <v>294</v>
      </c>
      <c r="I348" s="14">
        <f t="shared" si="57"/>
        <v>7622</v>
      </c>
      <c r="J348" s="14">
        <f t="shared" si="58"/>
        <v>-61</v>
      </c>
      <c r="K348" s="15">
        <f t="shared" si="59"/>
        <v>7.8719496195224351E-4</v>
      </c>
      <c r="L348" s="16" t="str">
        <f t="shared" si="60"/>
        <v>Valid</v>
      </c>
      <c r="M348" s="16" t="str">
        <f t="shared" si="61"/>
        <v>Valid</v>
      </c>
      <c r="N348" s="17" t="str">
        <f t="shared" si="62"/>
        <v>Stable/Reducing</v>
      </c>
      <c r="O348" s="16">
        <f t="shared" si="63"/>
        <v>1.2618025751072961</v>
      </c>
      <c r="P348" s="14">
        <f t="shared" si="65"/>
        <v>7601</v>
      </c>
      <c r="Q348" s="16">
        <f t="shared" si="64"/>
        <v>2918.4580782596145</v>
      </c>
    </row>
    <row r="349" spans="1:17" x14ac:dyDescent="0.3">
      <c r="A349" s="13">
        <v>45460</v>
      </c>
      <c r="B349" s="13" t="str">
        <f t="shared" si="55"/>
        <v>June</v>
      </c>
      <c r="C349" s="13" t="str">
        <f t="shared" si="56"/>
        <v>2024-06</v>
      </c>
      <c r="D349" s="8">
        <v>159</v>
      </c>
      <c r="E349" s="8">
        <v>310</v>
      </c>
      <c r="F349" s="8">
        <v>272</v>
      </c>
      <c r="G349" s="8">
        <v>7318</v>
      </c>
      <c r="H349" s="8">
        <v>224</v>
      </c>
      <c r="I349" s="14">
        <f t="shared" si="57"/>
        <v>7628</v>
      </c>
      <c r="J349" s="14">
        <f t="shared" si="58"/>
        <v>48</v>
      </c>
      <c r="K349" s="15">
        <f t="shared" si="59"/>
        <v>1.1798636601992659E-3</v>
      </c>
      <c r="L349" s="16" t="str">
        <f t="shared" si="60"/>
        <v>Valid</v>
      </c>
      <c r="M349" s="16" t="str">
        <f t="shared" si="61"/>
        <v>Valid</v>
      </c>
      <c r="N349" s="17" t="str">
        <f t="shared" si="62"/>
        <v>Increasing Pressure</v>
      </c>
      <c r="O349" s="16">
        <f t="shared" si="63"/>
        <v>0.82352941176470584</v>
      </c>
      <c r="P349" s="14">
        <f t="shared" si="65"/>
        <v>7583.8571428571431</v>
      </c>
      <c r="Q349" s="16">
        <f t="shared" si="64"/>
        <v>2918.4580782596145</v>
      </c>
    </row>
    <row r="350" spans="1:17" x14ac:dyDescent="0.3">
      <c r="A350" s="13">
        <v>45461</v>
      </c>
      <c r="B350" s="13" t="str">
        <f t="shared" si="55"/>
        <v>June</v>
      </c>
      <c r="C350" s="13" t="str">
        <f t="shared" si="56"/>
        <v>2024-06</v>
      </c>
      <c r="D350" s="8">
        <v>160</v>
      </c>
      <c r="E350" s="8">
        <v>297</v>
      </c>
      <c r="F350" s="8">
        <v>253</v>
      </c>
      <c r="G350" s="8">
        <v>7340</v>
      </c>
      <c r="H350" s="8">
        <v>214</v>
      </c>
      <c r="I350" s="14">
        <f t="shared" si="57"/>
        <v>7637</v>
      </c>
      <c r="J350" s="14">
        <f t="shared" si="58"/>
        <v>39</v>
      </c>
      <c r="K350" s="15">
        <f t="shared" si="59"/>
        <v>1.532015189210423E-2</v>
      </c>
      <c r="L350" s="16" t="str">
        <f t="shared" si="60"/>
        <v>Valid</v>
      </c>
      <c r="M350" s="16" t="str">
        <f t="shared" si="61"/>
        <v>Valid</v>
      </c>
      <c r="N350" s="17" t="str">
        <f t="shared" si="62"/>
        <v>Increasing Pressure</v>
      </c>
      <c r="O350" s="16">
        <f t="shared" si="63"/>
        <v>0.8458498023715415</v>
      </c>
      <c r="P350" s="14">
        <f t="shared" si="65"/>
        <v>7566</v>
      </c>
      <c r="Q350" s="16">
        <f t="shared" si="64"/>
        <v>2918.4580782596145</v>
      </c>
    </row>
    <row r="351" spans="1:17" x14ac:dyDescent="0.3">
      <c r="A351" s="13">
        <v>45462</v>
      </c>
      <c r="B351" s="13" t="str">
        <f t="shared" si="55"/>
        <v>June</v>
      </c>
      <c r="C351" s="13" t="str">
        <f t="shared" si="56"/>
        <v>2024-06</v>
      </c>
      <c r="D351" s="8">
        <v>204</v>
      </c>
      <c r="E351" s="8">
        <v>321</v>
      </c>
      <c r="F351" s="8">
        <v>246</v>
      </c>
      <c r="G351" s="8">
        <v>7433</v>
      </c>
      <c r="H351" s="8">
        <v>198</v>
      </c>
      <c r="I351" s="14">
        <f t="shared" si="57"/>
        <v>7754</v>
      </c>
      <c r="J351" s="14">
        <f t="shared" si="58"/>
        <v>48</v>
      </c>
      <c r="K351" s="15">
        <f t="shared" si="59"/>
        <v>-9.8013928295073507E-3</v>
      </c>
      <c r="L351" s="16" t="str">
        <f t="shared" si="60"/>
        <v>Valid</v>
      </c>
      <c r="M351" s="16" t="str">
        <f t="shared" si="61"/>
        <v>Valid</v>
      </c>
      <c r="N351" s="17" t="str">
        <f t="shared" si="62"/>
        <v>Increasing Pressure</v>
      </c>
      <c r="O351" s="16">
        <f t="shared" si="63"/>
        <v>0.80487804878048785</v>
      </c>
      <c r="P351" s="14">
        <f t="shared" si="65"/>
        <v>7540.1428571428569</v>
      </c>
      <c r="Q351" s="16">
        <f t="shared" si="64"/>
        <v>2918.4580782596145</v>
      </c>
    </row>
    <row r="352" spans="1:17" x14ac:dyDescent="0.3">
      <c r="A352" s="13">
        <v>45463</v>
      </c>
      <c r="B352" s="13" t="str">
        <f t="shared" si="55"/>
        <v>June</v>
      </c>
      <c r="C352" s="13" t="str">
        <f t="shared" si="56"/>
        <v>2024-06</v>
      </c>
      <c r="D352" s="8">
        <v>145</v>
      </c>
      <c r="E352" s="8">
        <v>247</v>
      </c>
      <c r="F352" s="8">
        <v>243</v>
      </c>
      <c r="G352" s="8">
        <v>7431</v>
      </c>
      <c r="H352" s="8">
        <v>235</v>
      </c>
      <c r="I352" s="14">
        <f t="shared" si="57"/>
        <v>7678</v>
      </c>
      <c r="J352" s="14">
        <f t="shared" si="58"/>
        <v>8</v>
      </c>
      <c r="K352" s="15">
        <f t="shared" si="59"/>
        <v>-2.6569419119562385E-2</v>
      </c>
      <c r="L352" s="16" t="str">
        <f t="shared" si="60"/>
        <v>Valid</v>
      </c>
      <c r="M352" s="16" t="str">
        <f t="shared" si="61"/>
        <v>Valid</v>
      </c>
      <c r="N352" s="17" t="str">
        <f t="shared" si="62"/>
        <v>Increasing Pressure</v>
      </c>
      <c r="O352" s="16">
        <f t="shared" si="63"/>
        <v>0.96707818930041156</v>
      </c>
      <c r="P352" s="14">
        <f t="shared" si="65"/>
        <v>7447.2857142857147</v>
      </c>
      <c r="Q352" s="16">
        <f t="shared" si="64"/>
        <v>2918.4580782596145</v>
      </c>
    </row>
    <row r="353" spans="1:17" x14ac:dyDescent="0.3">
      <c r="A353" s="13">
        <v>45466</v>
      </c>
      <c r="B353" s="13" t="str">
        <f t="shared" si="55"/>
        <v>June</v>
      </c>
      <c r="C353" s="13" t="str">
        <f t="shared" si="56"/>
        <v>2024-06</v>
      </c>
      <c r="D353" s="8">
        <v>102</v>
      </c>
      <c r="E353" s="8">
        <v>227</v>
      </c>
      <c r="F353" s="8">
        <v>201</v>
      </c>
      <c r="G353" s="8">
        <v>7247</v>
      </c>
      <c r="H353" s="8">
        <v>294</v>
      </c>
      <c r="I353" s="14">
        <f t="shared" si="57"/>
        <v>7474</v>
      </c>
      <c r="J353" s="14">
        <f t="shared" si="58"/>
        <v>-93</v>
      </c>
      <c r="K353" s="15">
        <f t="shared" si="59"/>
        <v>-8.0278298100080279E-3</v>
      </c>
      <c r="L353" s="16" t="str">
        <f t="shared" si="60"/>
        <v>Valid</v>
      </c>
      <c r="M353" s="16" t="str">
        <f t="shared" si="61"/>
        <v>Valid</v>
      </c>
      <c r="N353" s="17" t="str">
        <f t="shared" si="62"/>
        <v>Stable/Reducing</v>
      </c>
      <c r="O353" s="16">
        <f t="shared" si="63"/>
        <v>1.4626865671641791</v>
      </c>
      <c r="P353" s="14">
        <f t="shared" si="65"/>
        <v>7358.7142857142853</v>
      </c>
      <c r="Q353" s="16">
        <f t="shared" si="64"/>
        <v>2918.4580782596145</v>
      </c>
    </row>
    <row r="354" spans="1:17" x14ac:dyDescent="0.3">
      <c r="A354" s="13">
        <v>45467</v>
      </c>
      <c r="B354" s="13" t="str">
        <f t="shared" si="55"/>
        <v>June</v>
      </c>
      <c r="C354" s="13" t="str">
        <f t="shared" si="56"/>
        <v>2024-06</v>
      </c>
      <c r="D354" s="8">
        <v>116</v>
      </c>
      <c r="E354" s="8">
        <v>175</v>
      </c>
      <c r="F354" s="8">
        <v>172</v>
      </c>
      <c r="G354" s="8">
        <v>7239</v>
      </c>
      <c r="H354" s="8">
        <v>202</v>
      </c>
      <c r="I354" s="14">
        <f t="shared" si="57"/>
        <v>7414</v>
      </c>
      <c r="J354" s="14">
        <f t="shared" si="58"/>
        <v>-30</v>
      </c>
      <c r="K354" s="15">
        <f t="shared" si="59"/>
        <v>1.1869436201780416E-2</v>
      </c>
      <c r="L354" s="16" t="str">
        <f t="shared" si="60"/>
        <v>Valid</v>
      </c>
      <c r="M354" s="16" t="str">
        <f t="shared" si="61"/>
        <v>Valid</v>
      </c>
      <c r="N354" s="17" t="str">
        <f t="shared" si="62"/>
        <v>Stable/Reducing</v>
      </c>
      <c r="O354" s="16">
        <f t="shared" si="63"/>
        <v>1.1744186046511629</v>
      </c>
      <c r="P354" s="14">
        <f t="shared" si="65"/>
        <v>7298.8571428571431</v>
      </c>
      <c r="Q354" s="16">
        <f t="shared" si="64"/>
        <v>2918.4580782596145</v>
      </c>
    </row>
    <row r="355" spans="1:17" x14ac:dyDescent="0.3">
      <c r="A355" s="13">
        <v>45468</v>
      </c>
      <c r="B355" s="13" t="str">
        <f t="shared" si="55"/>
        <v>June</v>
      </c>
      <c r="C355" s="13" t="str">
        <f t="shared" si="56"/>
        <v>2024-06</v>
      </c>
      <c r="D355" s="8">
        <v>172</v>
      </c>
      <c r="E355" s="8">
        <v>263</v>
      </c>
      <c r="F355" s="8">
        <v>191</v>
      </c>
      <c r="G355" s="8">
        <v>7239</v>
      </c>
      <c r="H355" s="8">
        <v>202</v>
      </c>
      <c r="I355" s="14">
        <f t="shared" si="57"/>
        <v>7502</v>
      </c>
      <c r="J355" s="14">
        <f t="shared" si="58"/>
        <v>-11</v>
      </c>
      <c r="K355" s="15">
        <f t="shared" si="59"/>
        <v>1.3329778725673153E-4</v>
      </c>
      <c r="L355" s="16" t="str">
        <f t="shared" si="60"/>
        <v>Valid</v>
      </c>
      <c r="M355" s="16" t="str">
        <f t="shared" si="61"/>
        <v>Valid</v>
      </c>
      <c r="N355" s="17" t="str">
        <f t="shared" si="62"/>
        <v>Stable/Reducing</v>
      </c>
      <c r="O355" s="16">
        <f t="shared" si="63"/>
        <v>1.0575916230366491</v>
      </c>
      <c r="P355" s="14">
        <f t="shared" si="65"/>
        <v>7242</v>
      </c>
      <c r="Q355" s="16">
        <f t="shared" si="64"/>
        <v>2918.4580782596145</v>
      </c>
    </row>
    <row r="356" spans="1:17" x14ac:dyDescent="0.3">
      <c r="A356" s="13">
        <v>45469</v>
      </c>
      <c r="B356" s="13" t="str">
        <f t="shared" si="55"/>
        <v>June</v>
      </c>
      <c r="C356" s="13" t="str">
        <f t="shared" si="56"/>
        <v>2024-06</v>
      </c>
      <c r="D356" s="8">
        <v>132</v>
      </c>
      <c r="E356" s="8">
        <v>235</v>
      </c>
      <c r="F356" s="8">
        <v>197</v>
      </c>
      <c r="G356" s="8">
        <v>7268</v>
      </c>
      <c r="H356" s="8">
        <v>187</v>
      </c>
      <c r="I356" s="14">
        <f t="shared" si="57"/>
        <v>7503</v>
      </c>
      <c r="J356" s="14">
        <f t="shared" si="58"/>
        <v>10</v>
      </c>
      <c r="K356" s="15">
        <f t="shared" si="59"/>
        <v>-6.2641610022657604E-3</v>
      </c>
      <c r="L356" s="16" t="str">
        <f t="shared" si="60"/>
        <v>Valid</v>
      </c>
      <c r="M356" s="16" t="str">
        <f t="shared" si="61"/>
        <v>Valid</v>
      </c>
      <c r="N356" s="17" t="str">
        <f t="shared" si="62"/>
        <v>Increasing Pressure</v>
      </c>
      <c r="O356" s="16">
        <f t="shared" si="63"/>
        <v>0.949238578680203</v>
      </c>
      <c r="P356" s="14">
        <f t="shared" si="65"/>
        <v>7135.8571428571431</v>
      </c>
      <c r="Q356" s="16">
        <f t="shared" si="64"/>
        <v>2918.4580782596145</v>
      </c>
    </row>
    <row r="357" spans="1:17" x14ac:dyDescent="0.3">
      <c r="A357" s="13">
        <v>45470</v>
      </c>
      <c r="B357" s="13" t="str">
        <f t="shared" si="55"/>
        <v>June</v>
      </c>
      <c r="C357" s="13" t="str">
        <f t="shared" si="56"/>
        <v>2024-06</v>
      </c>
      <c r="D357" s="8">
        <v>174</v>
      </c>
      <c r="E357" s="8">
        <v>208</v>
      </c>
      <c r="F357" s="8">
        <v>256</v>
      </c>
      <c r="G357" s="8">
        <v>7248</v>
      </c>
      <c r="H357" s="8">
        <v>268</v>
      </c>
      <c r="I357" s="14">
        <f t="shared" si="57"/>
        <v>7456</v>
      </c>
      <c r="J357" s="14">
        <f t="shared" si="58"/>
        <v>-12</v>
      </c>
      <c r="K357" s="15">
        <f t="shared" si="59"/>
        <v>-4.7210300429184553E-2</v>
      </c>
      <c r="L357" s="16" t="str">
        <f t="shared" si="60"/>
        <v>Invalid</v>
      </c>
      <c r="M357" s="16" t="str">
        <f t="shared" si="61"/>
        <v>Valid</v>
      </c>
      <c r="N357" s="17" t="str">
        <f t="shared" si="62"/>
        <v>Stable/Reducing</v>
      </c>
      <c r="O357" s="16">
        <f t="shared" si="63"/>
        <v>1.046875</v>
      </c>
      <c r="P357" s="14">
        <f t="shared" si="65"/>
        <v>7034</v>
      </c>
      <c r="Q357" s="16">
        <f t="shared" si="64"/>
        <v>2918.4580782596145</v>
      </c>
    </row>
    <row r="358" spans="1:17" x14ac:dyDescent="0.3">
      <c r="A358" s="13">
        <v>45473</v>
      </c>
      <c r="B358" s="13" t="str">
        <f t="shared" si="55"/>
        <v>June</v>
      </c>
      <c r="C358" s="13" t="str">
        <f t="shared" si="56"/>
        <v>2024-06</v>
      </c>
      <c r="D358" s="8">
        <v>123</v>
      </c>
      <c r="E358" s="8">
        <v>230</v>
      </c>
      <c r="F358" s="8">
        <v>167</v>
      </c>
      <c r="G358" s="8">
        <v>6874</v>
      </c>
      <c r="H358" s="8">
        <v>273</v>
      </c>
      <c r="I358" s="14">
        <f t="shared" si="57"/>
        <v>7104</v>
      </c>
      <c r="J358" s="14">
        <f t="shared" si="58"/>
        <v>-106</v>
      </c>
      <c r="K358" s="15">
        <f t="shared" si="59"/>
        <v>-6.475225225225225E-3</v>
      </c>
      <c r="L358" s="16" t="str">
        <f t="shared" si="60"/>
        <v>Valid</v>
      </c>
      <c r="M358" s="16" t="str">
        <f t="shared" si="61"/>
        <v>Valid</v>
      </c>
      <c r="N358" s="17" t="str">
        <f t="shared" si="62"/>
        <v>Stable/Reducing</v>
      </c>
      <c r="O358" s="16">
        <f t="shared" si="63"/>
        <v>1.6347305389221556</v>
      </c>
      <c r="P358" s="14">
        <f t="shared" si="65"/>
        <v>6944.8571428571431</v>
      </c>
      <c r="Q358" s="16">
        <f t="shared" si="64"/>
        <v>2918.4580782596145</v>
      </c>
    </row>
    <row r="359" spans="1:17" x14ac:dyDescent="0.3">
      <c r="A359" s="13">
        <v>45474</v>
      </c>
      <c r="B359" s="13" t="str">
        <f t="shared" si="55"/>
        <v>July</v>
      </c>
      <c r="C359" s="13" t="str">
        <f t="shared" si="56"/>
        <v>2024-07</v>
      </c>
      <c r="D359" s="8">
        <v>123</v>
      </c>
      <c r="E359" s="8">
        <v>233</v>
      </c>
      <c r="F359" s="8">
        <v>159</v>
      </c>
      <c r="G359" s="8">
        <v>6825</v>
      </c>
      <c r="H359" s="8">
        <v>229</v>
      </c>
      <c r="I359" s="14">
        <f t="shared" si="57"/>
        <v>7058</v>
      </c>
      <c r="J359" s="14">
        <f t="shared" si="58"/>
        <v>-70</v>
      </c>
      <c r="K359" s="15">
        <f t="shared" si="59"/>
        <v>-4.2504958911873051E-4</v>
      </c>
      <c r="L359" s="16" t="str">
        <f t="shared" si="60"/>
        <v>Valid</v>
      </c>
      <c r="M359" s="16" t="str">
        <f t="shared" si="61"/>
        <v>Valid</v>
      </c>
      <c r="N359" s="17" t="str">
        <f t="shared" si="62"/>
        <v>Stable/Reducing</v>
      </c>
      <c r="O359" s="16">
        <f t="shared" si="63"/>
        <v>1.4402515723270439</v>
      </c>
      <c r="P359" s="14">
        <f t="shared" si="65"/>
        <v>6902.2857142857147</v>
      </c>
      <c r="Q359" s="16">
        <f t="shared" si="64"/>
        <v>2918.4580782596145</v>
      </c>
    </row>
    <row r="360" spans="1:17" x14ac:dyDescent="0.3">
      <c r="A360" s="13">
        <v>45475</v>
      </c>
      <c r="B360" s="13" t="str">
        <f t="shared" si="55"/>
        <v>July</v>
      </c>
      <c r="C360" s="13" t="str">
        <f t="shared" si="56"/>
        <v>2024-07</v>
      </c>
      <c r="D360" s="8">
        <v>141</v>
      </c>
      <c r="E360" s="8">
        <v>232</v>
      </c>
      <c r="F360" s="8">
        <v>188</v>
      </c>
      <c r="G360" s="8">
        <v>6823</v>
      </c>
      <c r="H360" s="8">
        <v>184</v>
      </c>
      <c r="I360" s="14">
        <f t="shared" si="57"/>
        <v>7055</v>
      </c>
      <c r="J360" s="14">
        <f t="shared" si="58"/>
        <v>4</v>
      </c>
      <c r="K360" s="15">
        <f t="shared" si="59"/>
        <v>-5.5279943302622252E-3</v>
      </c>
      <c r="L360" s="16" t="str">
        <f t="shared" si="60"/>
        <v>Valid</v>
      </c>
      <c r="M360" s="16" t="str">
        <f t="shared" si="61"/>
        <v>Valid</v>
      </c>
      <c r="N360" s="17" t="str">
        <f t="shared" si="62"/>
        <v>Increasing Pressure</v>
      </c>
      <c r="O360" s="16">
        <f t="shared" si="63"/>
        <v>0.97872340425531912</v>
      </c>
      <c r="P360" s="14">
        <f t="shared" si="65"/>
        <v>6867.7142857142853</v>
      </c>
      <c r="Q360" s="16">
        <f t="shared" si="64"/>
        <v>2918.4580782596145</v>
      </c>
    </row>
    <row r="361" spans="1:17" x14ac:dyDescent="0.3">
      <c r="A361" s="13">
        <v>45477</v>
      </c>
      <c r="B361" s="13" t="str">
        <f t="shared" si="55"/>
        <v>July</v>
      </c>
      <c r="C361" s="13" t="str">
        <f t="shared" si="56"/>
        <v>2024-07</v>
      </c>
      <c r="D361" s="8">
        <v>158</v>
      </c>
      <c r="E361" s="8">
        <v>226</v>
      </c>
      <c r="F361" s="8">
        <v>191</v>
      </c>
      <c r="G361" s="8">
        <v>6790</v>
      </c>
      <c r="H361" s="8">
        <v>225</v>
      </c>
      <c r="I361" s="14">
        <f t="shared" si="57"/>
        <v>7016</v>
      </c>
      <c r="J361" s="14">
        <f t="shared" si="58"/>
        <v>-34</v>
      </c>
      <c r="K361" s="15">
        <f t="shared" si="59"/>
        <v>-3.6630558722919045E-2</v>
      </c>
      <c r="L361" s="16" t="str">
        <f t="shared" si="60"/>
        <v>Valid</v>
      </c>
      <c r="M361" s="16" t="str">
        <f t="shared" si="61"/>
        <v>Valid</v>
      </c>
      <c r="N361" s="17" t="str">
        <f t="shared" si="62"/>
        <v>Stable/Reducing</v>
      </c>
      <c r="O361" s="16">
        <f t="shared" si="63"/>
        <v>1.1780104712041886</v>
      </c>
      <c r="P361" s="14">
        <f t="shared" si="65"/>
        <v>6787.8571428571431</v>
      </c>
      <c r="Q361" s="16">
        <f t="shared" si="64"/>
        <v>2918.4580782596145</v>
      </c>
    </row>
    <row r="362" spans="1:17" x14ac:dyDescent="0.3">
      <c r="A362" s="13">
        <v>45480</v>
      </c>
      <c r="B362" s="13" t="str">
        <f t="shared" si="55"/>
        <v>July</v>
      </c>
      <c r="C362" s="13" t="str">
        <f t="shared" si="56"/>
        <v>2024-07</v>
      </c>
      <c r="D362" s="8">
        <v>96</v>
      </c>
      <c r="E362" s="8">
        <v>160</v>
      </c>
      <c r="F362" s="8">
        <v>233</v>
      </c>
      <c r="G362" s="8">
        <v>6599</v>
      </c>
      <c r="H362" s="8">
        <v>213</v>
      </c>
      <c r="I362" s="14">
        <f t="shared" si="57"/>
        <v>6759</v>
      </c>
      <c r="J362" s="14">
        <f t="shared" si="58"/>
        <v>20</v>
      </c>
      <c r="K362" s="15">
        <f t="shared" si="59"/>
        <v>4.5864772895398724E-3</v>
      </c>
      <c r="L362" s="16" t="str">
        <f t="shared" si="60"/>
        <v>Invalid</v>
      </c>
      <c r="M362" s="16" t="str">
        <f t="shared" si="61"/>
        <v>Valid</v>
      </c>
      <c r="N362" s="17" t="str">
        <f t="shared" si="62"/>
        <v>Increasing Pressure</v>
      </c>
      <c r="O362" s="16">
        <f t="shared" si="63"/>
        <v>0.91416309012875541</v>
      </c>
      <c r="P362" s="14">
        <f t="shared" si="65"/>
        <v>6709.5714285714284</v>
      </c>
      <c r="Q362" s="16">
        <f t="shared" si="64"/>
        <v>2918.4580782596145</v>
      </c>
    </row>
    <row r="363" spans="1:17" x14ac:dyDescent="0.3">
      <c r="A363" s="13">
        <v>45481</v>
      </c>
      <c r="B363" s="13" t="str">
        <f t="shared" si="55"/>
        <v>July</v>
      </c>
      <c r="C363" s="13" t="str">
        <f t="shared" si="56"/>
        <v>2024-07</v>
      </c>
      <c r="D363" s="8">
        <v>141</v>
      </c>
      <c r="E363" s="8">
        <v>173</v>
      </c>
      <c r="F363" s="8">
        <v>129</v>
      </c>
      <c r="G363" s="8">
        <v>6617</v>
      </c>
      <c r="H363" s="8">
        <v>123</v>
      </c>
      <c r="I363" s="14">
        <f t="shared" si="57"/>
        <v>6790</v>
      </c>
      <c r="J363" s="14">
        <f t="shared" si="58"/>
        <v>6</v>
      </c>
      <c r="K363" s="15">
        <f t="shared" si="59"/>
        <v>6.1855670103092781E-3</v>
      </c>
      <c r="L363" s="16" t="str">
        <f t="shared" si="60"/>
        <v>Valid</v>
      </c>
      <c r="M363" s="16" t="str">
        <f t="shared" si="61"/>
        <v>Valid</v>
      </c>
      <c r="N363" s="17" t="str">
        <f t="shared" si="62"/>
        <v>Increasing Pressure</v>
      </c>
      <c r="O363" s="16">
        <f t="shared" si="63"/>
        <v>0.95348837209302328</v>
      </c>
      <c r="P363" s="14">
        <f t="shared" si="65"/>
        <v>6670.4285714285716</v>
      </c>
      <c r="Q363" s="16">
        <f t="shared" si="64"/>
        <v>2918.4580782596145</v>
      </c>
    </row>
    <row r="364" spans="1:17" x14ac:dyDescent="0.3">
      <c r="A364" s="13">
        <v>45482</v>
      </c>
      <c r="B364" s="13" t="str">
        <f t="shared" si="55"/>
        <v>July</v>
      </c>
      <c r="C364" s="13" t="str">
        <f t="shared" si="56"/>
        <v>2024-07</v>
      </c>
      <c r="D364" s="8">
        <v>116</v>
      </c>
      <c r="E364" s="8">
        <v>181</v>
      </c>
      <c r="F364" s="8">
        <v>182</v>
      </c>
      <c r="G364" s="8">
        <v>6651</v>
      </c>
      <c r="H364" s="8">
        <v>130</v>
      </c>
      <c r="I364" s="14">
        <f t="shared" si="57"/>
        <v>6832</v>
      </c>
      <c r="J364" s="14">
        <f t="shared" si="58"/>
        <v>52</v>
      </c>
      <c r="K364" s="15">
        <f t="shared" si="59"/>
        <v>-3.8056206088992973E-3</v>
      </c>
      <c r="L364" s="16" t="str">
        <f t="shared" si="60"/>
        <v>Invalid</v>
      </c>
      <c r="M364" s="16" t="str">
        <f t="shared" si="61"/>
        <v>Valid</v>
      </c>
      <c r="N364" s="17" t="str">
        <f t="shared" si="62"/>
        <v>Increasing Pressure</v>
      </c>
      <c r="O364" s="16">
        <f t="shared" si="63"/>
        <v>0.7142857142857143</v>
      </c>
      <c r="P364" s="14">
        <f t="shared" si="65"/>
        <v>6622.7142857142853</v>
      </c>
      <c r="Q364" s="16">
        <f t="shared" si="64"/>
        <v>2918.4580782596145</v>
      </c>
    </row>
    <row r="365" spans="1:17" x14ac:dyDescent="0.3">
      <c r="A365" s="13">
        <v>45483</v>
      </c>
      <c r="B365" s="13" t="str">
        <f t="shared" si="55"/>
        <v>July</v>
      </c>
      <c r="C365" s="13" t="str">
        <f t="shared" si="56"/>
        <v>2024-07</v>
      </c>
      <c r="D365" s="8">
        <v>150</v>
      </c>
      <c r="E365" s="8">
        <v>157</v>
      </c>
      <c r="F365" s="8">
        <v>201</v>
      </c>
      <c r="G365" s="8">
        <v>6649</v>
      </c>
      <c r="H365" s="8">
        <v>177</v>
      </c>
      <c r="I365" s="14">
        <f t="shared" si="57"/>
        <v>6806</v>
      </c>
      <c r="J365" s="14">
        <f t="shared" si="58"/>
        <v>24</v>
      </c>
      <c r="K365" s="15">
        <f t="shared" si="59"/>
        <v>1.4692918013517484E-3</v>
      </c>
      <c r="L365" s="16" t="str">
        <f t="shared" si="60"/>
        <v>Invalid</v>
      </c>
      <c r="M365" s="16" t="str">
        <f t="shared" si="61"/>
        <v>Valid</v>
      </c>
      <c r="N365" s="17" t="str">
        <f t="shared" si="62"/>
        <v>Increasing Pressure</v>
      </c>
      <c r="O365" s="16">
        <f t="shared" si="63"/>
        <v>0.88059701492537312</v>
      </c>
      <c r="P365" s="14">
        <f t="shared" si="65"/>
        <v>6540.1428571428569</v>
      </c>
      <c r="Q365" s="16">
        <f t="shared" si="64"/>
        <v>2918.4580782596145</v>
      </c>
    </row>
    <row r="366" spans="1:17" x14ac:dyDescent="0.3">
      <c r="A366" s="13">
        <v>45484</v>
      </c>
      <c r="B366" s="13" t="str">
        <f t="shared" si="55"/>
        <v>July</v>
      </c>
      <c r="C366" s="13" t="str">
        <f t="shared" si="56"/>
        <v>2024-07</v>
      </c>
      <c r="D366" s="8">
        <v>80</v>
      </c>
      <c r="E366" s="8">
        <v>176</v>
      </c>
      <c r="F366" s="8">
        <v>125</v>
      </c>
      <c r="G366" s="8">
        <v>6640</v>
      </c>
      <c r="H366" s="8">
        <v>197</v>
      </c>
      <c r="I366" s="14">
        <f t="shared" si="57"/>
        <v>6816</v>
      </c>
      <c r="J366" s="14">
        <f t="shared" si="58"/>
        <v>-72</v>
      </c>
      <c r="K366" s="15">
        <f t="shared" si="59"/>
        <v>-4.6948356807511735E-2</v>
      </c>
      <c r="L366" s="16" t="str">
        <f t="shared" si="60"/>
        <v>Valid</v>
      </c>
      <c r="M366" s="16" t="str">
        <f t="shared" si="61"/>
        <v>Valid</v>
      </c>
      <c r="N366" s="17" t="str">
        <f t="shared" si="62"/>
        <v>Stable/Reducing</v>
      </c>
      <c r="O366" s="16">
        <f t="shared" si="63"/>
        <v>1.5760000000000001</v>
      </c>
      <c r="P366" s="14">
        <f t="shared" si="65"/>
        <v>6452.2857142857147</v>
      </c>
      <c r="Q366" s="16">
        <f t="shared" si="64"/>
        <v>2918.4580782596145</v>
      </c>
    </row>
    <row r="367" spans="1:17" x14ac:dyDescent="0.3">
      <c r="A367" s="13">
        <v>45487</v>
      </c>
      <c r="B367" s="13" t="str">
        <f t="shared" si="55"/>
        <v>July</v>
      </c>
      <c r="C367" s="13" t="str">
        <f t="shared" si="56"/>
        <v>2024-07</v>
      </c>
      <c r="D367" s="8">
        <v>116</v>
      </c>
      <c r="E367" s="8">
        <v>188</v>
      </c>
      <c r="F367" s="8">
        <v>164</v>
      </c>
      <c r="G367" s="8">
        <v>6308</v>
      </c>
      <c r="H367" s="8">
        <v>237</v>
      </c>
      <c r="I367" s="14">
        <f t="shared" si="57"/>
        <v>6496</v>
      </c>
      <c r="J367" s="14">
        <f t="shared" si="58"/>
        <v>-73</v>
      </c>
      <c r="K367" s="15">
        <f t="shared" si="59"/>
        <v>-4.3103448275862068E-3</v>
      </c>
      <c r="L367" s="16" t="str">
        <f t="shared" si="60"/>
        <v>Valid</v>
      </c>
      <c r="M367" s="16" t="str">
        <f t="shared" si="61"/>
        <v>Valid</v>
      </c>
      <c r="N367" s="17" t="str">
        <f t="shared" si="62"/>
        <v>Stable/Reducing</v>
      </c>
      <c r="O367" s="16">
        <f t="shared" si="63"/>
        <v>1.4451219512195121</v>
      </c>
      <c r="P367" s="14">
        <f t="shared" si="65"/>
        <v>6367.4285714285716</v>
      </c>
      <c r="Q367" s="16">
        <f t="shared" si="64"/>
        <v>2918.4580782596145</v>
      </c>
    </row>
    <row r="368" spans="1:17" x14ac:dyDescent="0.3">
      <c r="A368" s="13">
        <v>45488</v>
      </c>
      <c r="B368" s="13" t="str">
        <f t="shared" si="55"/>
        <v>July</v>
      </c>
      <c r="C368" s="13" t="str">
        <f t="shared" si="56"/>
        <v>2024-07</v>
      </c>
      <c r="D368" s="8">
        <v>105</v>
      </c>
      <c r="E368" s="8">
        <v>185</v>
      </c>
      <c r="F368" s="8">
        <v>158</v>
      </c>
      <c r="G368" s="8">
        <v>6283</v>
      </c>
      <c r="H368" s="8">
        <v>171</v>
      </c>
      <c r="I368" s="14">
        <f t="shared" si="57"/>
        <v>6468</v>
      </c>
      <c r="J368" s="14">
        <f t="shared" si="58"/>
        <v>-13</v>
      </c>
      <c r="K368" s="15">
        <f t="shared" si="59"/>
        <v>2.6283240568954853E-3</v>
      </c>
      <c r="L368" s="16" t="str">
        <f t="shared" si="60"/>
        <v>Valid</v>
      </c>
      <c r="M368" s="16" t="str">
        <f t="shared" si="61"/>
        <v>Valid</v>
      </c>
      <c r="N368" s="17" t="str">
        <f t="shared" si="62"/>
        <v>Stable/Reducing</v>
      </c>
      <c r="O368" s="16">
        <f t="shared" si="63"/>
        <v>1.0822784810126582</v>
      </c>
      <c r="P368" s="14">
        <f t="shared" si="65"/>
        <v>6325</v>
      </c>
      <c r="Q368" s="16">
        <f t="shared" si="64"/>
        <v>2918.4580782596145</v>
      </c>
    </row>
    <row r="369" spans="1:17" x14ac:dyDescent="0.3">
      <c r="A369" s="13">
        <v>45489</v>
      </c>
      <c r="B369" s="13" t="str">
        <f t="shared" si="55"/>
        <v>July</v>
      </c>
      <c r="C369" s="13" t="str">
        <f t="shared" si="56"/>
        <v>2024-07</v>
      </c>
      <c r="D369" s="8">
        <v>136</v>
      </c>
      <c r="E369" s="8">
        <v>246</v>
      </c>
      <c r="F369" s="8">
        <v>123</v>
      </c>
      <c r="G369" s="8">
        <v>6239</v>
      </c>
      <c r="H369" s="8">
        <v>173</v>
      </c>
      <c r="I369" s="14">
        <f t="shared" si="57"/>
        <v>6485</v>
      </c>
      <c r="J369" s="14">
        <f t="shared" si="58"/>
        <v>-50</v>
      </c>
      <c r="K369" s="15">
        <f t="shared" si="59"/>
        <v>-4.4718581341557442E-3</v>
      </c>
      <c r="L369" s="16" t="str">
        <f t="shared" si="60"/>
        <v>Valid</v>
      </c>
      <c r="M369" s="16" t="str">
        <f t="shared" si="61"/>
        <v>Valid</v>
      </c>
      <c r="N369" s="17" t="str">
        <f t="shared" si="62"/>
        <v>Stable/Reducing</v>
      </c>
      <c r="O369" s="16">
        <f t="shared" si="63"/>
        <v>1.4065040650406504</v>
      </c>
      <c r="P369" s="14">
        <f t="shared" si="65"/>
        <v>6279.8571428571431</v>
      </c>
      <c r="Q369" s="16">
        <f t="shared" si="64"/>
        <v>2918.4580782596145</v>
      </c>
    </row>
    <row r="370" spans="1:17" x14ac:dyDescent="0.3">
      <c r="A370" s="13">
        <v>45490</v>
      </c>
      <c r="B370" s="13" t="str">
        <f t="shared" si="55"/>
        <v>July</v>
      </c>
      <c r="C370" s="13" t="str">
        <f t="shared" si="56"/>
        <v>2024-07</v>
      </c>
      <c r="D370" s="8">
        <v>128</v>
      </c>
      <c r="E370" s="8">
        <v>228</v>
      </c>
      <c r="F370" s="8">
        <v>177</v>
      </c>
      <c r="G370" s="8">
        <v>6228</v>
      </c>
      <c r="H370" s="8">
        <v>187</v>
      </c>
      <c r="I370" s="14">
        <f t="shared" si="57"/>
        <v>6456</v>
      </c>
      <c r="J370" s="14">
        <f t="shared" si="58"/>
        <v>-10</v>
      </c>
      <c r="K370" s="15">
        <f t="shared" si="59"/>
        <v>-3.1288723667905825E-2</v>
      </c>
      <c r="L370" s="16" t="str">
        <f t="shared" si="60"/>
        <v>Valid</v>
      </c>
      <c r="M370" s="16" t="str">
        <f t="shared" si="61"/>
        <v>Valid</v>
      </c>
      <c r="N370" s="17" t="str">
        <f t="shared" si="62"/>
        <v>Stable/Reducing</v>
      </c>
      <c r="O370" s="16">
        <f t="shared" si="63"/>
        <v>1.0564971751412429</v>
      </c>
      <c r="P370" s="14">
        <f t="shared" si="65"/>
        <v>6215.2857142857147</v>
      </c>
      <c r="Q370" s="16">
        <f t="shared" si="64"/>
        <v>2918.4580782596145</v>
      </c>
    </row>
    <row r="371" spans="1:17" x14ac:dyDescent="0.3">
      <c r="A371" s="13">
        <v>45494</v>
      </c>
      <c r="B371" s="13" t="str">
        <f t="shared" si="55"/>
        <v>July</v>
      </c>
      <c r="C371" s="13" t="str">
        <f t="shared" si="56"/>
        <v>2024-07</v>
      </c>
      <c r="D371" s="8">
        <v>90</v>
      </c>
      <c r="E371" s="8">
        <v>196</v>
      </c>
      <c r="F371" s="8">
        <v>205</v>
      </c>
      <c r="G371" s="8">
        <v>6058</v>
      </c>
      <c r="H371" s="8">
        <v>262</v>
      </c>
      <c r="I371" s="14">
        <f t="shared" si="57"/>
        <v>6254</v>
      </c>
      <c r="J371" s="14">
        <f t="shared" si="58"/>
        <v>-57</v>
      </c>
      <c r="K371" s="15">
        <f t="shared" si="59"/>
        <v>-1.0073552926127279E-2</v>
      </c>
      <c r="L371" s="16" t="str">
        <f t="shared" si="60"/>
        <v>Invalid</v>
      </c>
      <c r="M371" s="16" t="str">
        <f t="shared" si="61"/>
        <v>Valid</v>
      </c>
      <c r="N371" s="17" t="str">
        <f t="shared" si="62"/>
        <v>Stable/Reducing</v>
      </c>
      <c r="O371" s="16">
        <f t="shared" si="63"/>
        <v>1.2780487804878049</v>
      </c>
      <c r="P371" s="14">
        <f t="shared" si="65"/>
        <v>6154.2857142857147</v>
      </c>
      <c r="Q371" s="16">
        <f t="shared" si="64"/>
        <v>2918.4580782596145</v>
      </c>
    </row>
    <row r="372" spans="1:17" x14ac:dyDescent="0.3">
      <c r="A372" s="13">
        <v>45495</v>
      </c>
      <c r="B372" s="13" t="str">
        <f t="shared" si="55"/>
        <v>July</v>
      </c>
      <c r="C372" s="13" t="str">
        <f t="shared" si="56"/>
        <v>2024-07</v>
      </c>
      <c r="D372" s="8">
        <v>102</v>
      </c>
      <c r="E372" s="8">
        <v>189</v>
      </c>
      <c r="F372" s="8">
        <v>155</v>
      </c>
      <c r="G372" s="8">
        <v>6002</v>
      </c>
      <c r="H372" s="8">
        <v>234</v>
      </c>
      <c r="I372" s="14">
        <f t="shared" si="57"/>
        <v>6191</v>
      </c>
      <c r="J372" s="14">
        <f t="shared" si="58"/>
        <v>-79</v>
      </c>
      <c r="K372" s="15">
        <f t="shared" si="59"/>
        <v>5.0072686157325149E-3</v>
      </c>
      <c r="L372" s="16" t="str">
        <f t="shared" si="60"/>
        <v>Valid</v>
      </c>
      <c r="M372" s="16" t="str">
        <f t="shared" si="61"/>
        <v>Valid</v>
      </c>
      <c r="N372" s="17" t="str">
        <f t="shared" si="62"/>
        <v>Stable/Reducing</v>
      </c>
      <c r="O372" s="16">
        <f t="shared" si="63"/>
        <v>1.5096774193548388</v>
      </c>
      <c r="P372" s="14">
        <f t="shared" si="65"/>
        <v>6137</v>
      </c>
      <c r="Q372" s="16">
        <f t="shared" si="64"/>
        <v>2918.4580782596145</v>
      </c>
    </row>
    <row r="373" spans="1:17" x14ac:dyDescent="0.3">
      <c r="A373" s="13">
        <v>45496</v>
      </c>
      <c r="B373" s="13" t="str">
        <f t="shared" si="55"/>
        <v>July</v>
      </c>
      <c r="C373" s="13" t="str">
        <f t="shared" si="56"/>
        <v>2024-07</v>
      </c>
      <c r="D373" s="8">
        <v>120</v>
      </c>
      <c r="E373" s="8">
        <v>257</v>
      </c>
      <c r="F373" s="8">
        <v>126</v>
      </c>
      <c r="G373" s="8">
        <v>5965</v>
      </c>
      <c r="H373" s="8">
        <v>170</v>
      </c>
      <c r="I373" s="14">
        <f t="shared" si="57"/>
        <v>6222</v>
      </c>
      <c r="J373" s="14">
        <f t="shared" si="58"/>
        <v>-44</v>
      </c>
      <c r="K373" s="15">
        <f t="shared" si="59"/>
        <v>-3.6965605914496946E-3</v>
      </c>
      <c r="L373" s="16" t="str">
        <f t="shared" si="60"/>
        <v>Valid</v>
      </c>
      <c r="M373" s="16" t="str">
        <f t="shared" si="61"/>
        <v>Valid</v>
      </c>
      <c r="N373" s="17" t="str">
        <f t="shared" si="62"/>
        <v>Stable/Reducing</v>
      </c>
      <c r="O373" s="16">
        <f t="shared" si="63"/>
        <v>1.3492063492063493</v>
      </c>
      <c r="P373" s="14">
        <f t="shared" si="65"/>
        <v>6141.7142857142853</v>
      </c>
      <c r="Q373" s="16">
        <f t="shared" si="64"/>
        <v>2918.4580782596145</v>
      </c>
    </row>
    <row r="374" spans="1:17" x14ac:dyDescent="0.3">
      <c r="A374" s="13">
        <v>45497</v>
      </c>
      <c r="B374" s="13" t="str">
        <f t="shared" si="55"/>
        <v>July</v>
      </c>
      <c r="C374" s="13" t="str">
        <f t="shared" si="56"/>
        <v>2024-07</v>
      </c>
      <c r="D374" s="8">
        <v>137</v>
      </c>
      <c r="E374" s="8">
        <v>272</v>
      </c>
      <c r="F374" s="8">
        <v>166</v>
      </c>
      <c r="G374" s="8">
        <v>5927</v>
      </c>
      <c r="H374" s="8">
        <v>177</v>
      </c>
      <c r="I374" s="14">
        <f t="shared" si="57"/>
        <v>6199</v>
      </c>
      <c r="J374" s="14">
        <f t="shared" si="58"/>
        <v>-11</v>
      </c>
      <c r="K374" s="15">
        <f t="shared" si="59"/>
        <v>-7.5818680432327796E-3</v>
      </c>
      <c r="L374" s="16" t="str">
        <f t="shared" si="60"/>
        <v>Valid</v>
      </c>
      <c r="M374" s="16" t="str">
        <f t="shared" si="61"/>
        <v>Valid</v>
      </c>
      <c r="N374" s="17" t="str">
        <f t="shared" si="62"/>
        <v>Stable/Reducing</v>
      </c>
      <c r="O374" s="16">
        <f t="shared" si="63"/>
        <v>1.0662650602409638</v>
      </c>
      <c r="P374" s="14">
        <f t="shared" si="65"/>
        <v>6154.8571428571431</v>
      </c>
      <c r="Q374" s="16">
        <f t="shared" si="64"/>
        <v>2918.4580782596145</v>
      </c>
    </row>
    <row r="375" spans="1:17" x14ac:dyDescent="0.3">
      <c r="A375" s="13">
        <v>45498</v>
      </c>
      <c r="B375" s="13" t="str">
        <f t="shared" si="55"/>
        <v>July</v>
      </c>
      <c r="C375" s="13" t="str">
        <f t="shared" si="56"/>
        <v>2024-07</v>
      </c>
      <c r="D375" s="8">
        <v>93</v>
      </c>
      <c r="E375" s="8">
        <v>198</v>
      </c>
      <c r="F375" s="8">
        <v>208</v>
      </c>
      <c r="G375" s="8">
        <v>5954</v>
      </c>
      <c r="H375" s="8">
        <v>194</v>
      </c>
      <c r="I375" s="14">
        <f t="shared" si="57"/>
        <v>6152</v>
      </c>
      <c r="J375" s="14">
        <f t="shared" si="58"/>
        <v>14</v>
      </c>
      <c r="K375" s="15">
        <f t="shared" si="59"/>
        <v>-1.934330299089727E-2</v>
      </c>
      <c r="L375" s="16" t="str">
        <f t="shared" si="60"/>
        <v>Invalid</v>
      </c>
      <c r="M375" s="16" t="str">
        <f t="shared" si="61"/>
        <v>Valid</v>
      </c>
      <c r="N375" s="17" t="str">
        <f t="shared" si="62"/>
        <v>Increasing Pressure</v>
      </c>
      <c r="O375" s="16">
        <f t="shared" si="63"/>
        <v>0.93269230769230771</v>
      </c>
      <c r="P375" s="14">
        <f t="shared" si="65"/>
        <v>6142.1428571428569</v>
      </c>
      <c r="Q375" s="16">
        <f t="shared" si="64"/>
        <v>2918.4580782596145</v>
      </c>
    </row>
    <row r="376" spans="1:17" x14ac:dyDescent="0.3">
      <c r="A376" s="13">
        <v>45501</v>
      </c>
      <c r="B376" s="13" t="str">
        <f t="shared" si="55"/>
        <v>July</v>
      </c>
      <c r="C376" s="13" t="str">
        <f t="shared" si="56"/>
        <v>2024-07</v>
      </c>
      <c r="D376" s="8">
        <v>152</v>
      </c>
      <c r="E376" s="8">
        <v>290</v>
      </c>
      <c r="F376" s="8">
        <v>199</v>
      </c>
      <c r="G376" s="8">
        <v>5743</v>
      </c>
      <c r="H376" s="8">
        <v>207</v>
      </c>
      <c r="I376" s="14">
        <f t="shared" si="57"/>
        <v>6033</v>
      </c>
      <c r="J376" s="14">
        <f t="shared" si="58"/>
        <v>-8</v>
      </c>
      <c r="K376" s="15">
        <f t="shared" si="59"/>
        <v>-6.6302005635670484E-4</v>
      </c>
      <c r="L376" s="16" t="str">
        <f t="shared" si="60"/>
        <v>Valid</v>
      </c>
      <c r="M376" s="16" t="str">
        <f t="shared" si="61"/>
        <v>Valid</v>
      </c>
      <c r="N376" s="17" t="str">
        <f t="shared" si="62"/>
        <v>Stable/Reducing</v>
      </c>
      <c r="O376" s="16">
        <f t="shared" si="63"/>
        <v>1.0402010050251256</v>
      </c>
      <c r="P376" s="14">
        <f t="shared" si="65"/>
        <v>6150.2857142857147</v>
      </c>
      <c r="Q376" s="16">
        <f t="shared" si="64"/>
        <v>2918.4580782596145</v>
      </c>
    </row>
    <row r="377" spans="1:17" x14ac:dyDescent="0.3">
      <c r="A377" s="13">
        <v>45502</v>
      </c>
      <c r="B377" s="13" t="str">
        <f t="shared" si="55"/>
        <v>July</v>
      </c>
      <c r="C377" s="13" t="str">
        <f t="shared" si="56"/>
        <v>2024-07</v>
      </c>
      <c r="D377" s="8">
        <v>114</v>
      </c>
      <c r="E377" s="8">
        <v>210</v>
      </c>
      <c r="F377" s="8">
        <v>219</v>
      </c>
      <c r="G377" s="8">
        <v>5819</v>
      </c>
      <c r="H377" s="8">
        <v>163</v>
      </c>
      <c r="I377" s="14">
        <f t="shared" si="57"/>
        <v>6029</v>
      </c>
      <c r="J377" s="14">
        <f t="shared" si="58"/>
        <v>56</v>
      </c>
      <c r="K377" s="15">
        <f t="shared" si="59"/>
        <v>1.7249958533753523E-2</v>
      </c>
      <c r="L377" s="16" t="str">
        <f t="shared" si="60"/>
        <v>Invalid</v>
      </c>
      <c r="M377" s="16" t="str">
        <f t="shared" si="61"/>
        <v>Valid</v>
      </c>
      <c r="N377" s="17" t="str">
        <f t="shared" si="62"/>
        <v>Increasing Pressure</v>
      </c>
      <c r="O377" s="16">
        <f t="shared" si="63"/>
        <v>0.74429223744292239</v>
      </c>
      <c r="P377" s="14">
        <f t="shared" si="65"/>
        <v>6185.7142857142853</v>
      </c>
      <c r="Q377" s="16">
        <f t="shared" si="64"/>
        <v>2918.4580782596145</v>
      </c>
    </row>
    <row r="378" spans="1:17" x14ac:dyDescent="0.3">
      <c r="A378" s="13">
        <v>45503</v>
      </c>
      <c r="B378" s="13" t="str">
        <f t="shared" si="55"/>
        <v>July</v>
      </c>
      <c r="C378" s="13" t="str">
        <f t="shared" si="56"/>
        <v>2024-07</v>
      </c>
      <c r="D378" s="8">
        <v>125</v>
      </c>
      <c r="E378" s="8">
        <v>203</v>
      </c>
      <c r="F378" s="8">
        <v>208</v>
      </c>
      <c r="G378" s="8">
        <v>5930</v>
      </c>
      <c r="H378" s="8">
        <v>92</v>
      </c>
      <c r="I378" s="14">
        <f t="shared" si="57"/>
        <v>6133</v>
      </c>
      <c r="J378" s="14">
        <f t="shared" si="58"/>
        <v>116</v>
      </c>
      <c r="K378" s="15">
        <f t="shared" si="59"/>
        <v>1.4837762921897929E-2</v>
      </c>
      <c r="L378" s="16" t="str">
        <f t="shared" si="60"/>
        <v>Invalid</v>
      </c>
      <c r="M378" s="16" t="str">
        <f t="shared" si="61"/>
        <v>Valid</v>
      </c>
      <c r="N378" s="17" t="str">
        <f t="shared" si="62"/>
        <v>Increasing Pressure</v>
      </c>
      <c r="O378" s="16">
        <f t="shared" si="63"/>
        <v>0.44230769230769229</v>
      </c>
      <c r="P378" s="14">
        <f t="shared" si="65"/>
        <v>6226</v>
      </c>
      <c r="Q378" s="16">
        <f t="shared" si="64"/>
        <v>2918.4580782596145</v>
      </c>
    </row>
    <row r="379" spans="1:17" x14ac:dyDescent="0.3">
      <c r="A379" s="13">
        <v>45504</v>
      </c>
      <c r="B379" s="13" t="str">
        <f t="shared" si="55"/>
        <v>July</v>
      </c>
      <c r="C379" s="13" t="str">
        <f t="shared" si="56"/>
        <v>2024-07</v>
      </c>
      <c r="D379" s="8">
        <v>140</v>
      </c>
      <c r="E379" s="8">
        <v>261</v>
      </c>
      <c r="F379" s="8">
        <v>163</v>
      </c>
      <c r="G379" s="8">
        <v>5963</v>
      </c>
      <c r="H379" s="8">
        <v>154</v>
      </c>
      <c r="I379" s="14">
        <f t="shared" si="57"/>
        <v>6224</v>
      </c>
      <c r="J379" s="14">
        <f t="shared" si="58"/>
        <v>9</v>
      </c>
      <c r="K379" s="15">
        <f t="shared" si="59"/>
        <v>1.4460154241645245E-2</v>
      </c>
      <c r="L379" s="16" t="str">
        <f t="shared" si="60"/>
        <v>Valid</v>
      </c>
      <c r="M379" s="16" t="str">
        <f t="shared" si="61"/>
        <v>Valid</v>
      </c>
      <c r="N379" s="17" t="str">
        <f t="shared" si="62"/>
        <v>Increasing Pressure</v>
      </c>
      <c r="O379" s="16">
        <f t="shared" si="63"/>
        <v>0.94478527607361962</v>
      </c>
      <c r="P379" s="14">
        <f t="shared" si="65"/>
        <v>6251.8571428571431</v>
      </c>
      <c r="Q379" s="16">
        <f t="shared" si="64"/>
        <v>2918.4580782596145</v>
      </c>
    </row>
    <row r="380" spans="1:17" x14ac:dyDescent="0.3">
      <c r="A380" s="13">
        <v>45505</v>
      </c>
      <c r="B380" s="13" t="str">
        <f t="shared" si="55"/>
        <v>August</v>
      </c>
      <c r="C380" s="13" t="str">
        <f t="shared" si="56"/>
        <v>2024-08</v>
      </c>
      <c r="D380" s="8">
        <v>227</v>
      </c>
      <c r="E380" s="8">
        <v>298</v>
      </c>
      <c r="F380" s="8">
        <v>212</v>
      </c>
      <c r="G380" s="8">
        <v>6016</v>
      </c>
      <c r="H380" s="8">
        <v>169</v>
      </c>
      <c r="I380" s="14">
        <f t="shared" si="57"/>
        <v>6314</v>
      </c>
      <c r="J380" s="14">
        <f t="shared" si="58"/>
        <v>43</v>
      </c>
      <c r="K380" s="15">
        <f t="shared" si="59"/>
        <v>-3.2309154260373771E-2</v>
      </c>
      <c r="L380" s="16" t="str">
        <f t="shared" si="60"/>
        <v>Valid</v>
      </c>
      <c r="M380" s="16" t="str">
        <f t="shared" si="61"/>
        <v>Valid</v>
      </c>
      <c r="N380" s="17" t="str">
        <f t="shared" si="62"/>
        <v>Increasing Pressure</v>
      </c>
      <c r="O380" s="16">
        <f t="shared" si="63"/>
        <v>0.79716981132075471</v>
      </c>
      <c r="P380" s="14">
        <f t="shared" si="65"/>
        <v>6234.8571428571431</v>
      </c>
      <c r="Q380" s="16">
        <f t="shared" si="64"/>
        <v>2918.4580782596145</v>
      </c>
    </row>
    <row r="381" spans="1:17" x14ac:dyDescent="0.3">
      <c r="A381" s="13">
        <v>45508</v>
      </c>
      <c r="B381" s="13" t="str">
        <f t="shared" si="55"/>
        <v>August</v>
      </c>
      <c r="C381" s="13" t="str">
        <f t="shared" si="56"/>
        <v>2024-08</v>
      </c>
      <c r="D381" s="8">
        <v>63</v>
      </c>
      <c r="E381" s="8">
        <v>167</v>
      </c>
      <c r="F381" s="8">
        <v>143</v>
      </c>
      <c r="G381" s="8">
        <v>5943</v>
      </c>
      <c r="H381" s="8">
        <v>170</v>
      </c>
      <c r="I381" s="14">
        <f t="shared" si="57"/>
        <v>6110</v>
      </c>
      <c r="J381" s="14">
        <f t="shared" si="58"/>
        <v>-27</v>
      </c>
      <c r="K381" s="15">
        <f t="shared" si="59"/>
        <v>1.6202945990180032E-2</v>
      </c>
      <c r="L381" s="16" t="str">
        <f t="shared" si="60"/>
        <v>Valid</v>
      </c>
      <c r="M381" s="16" t="str">
        <f t="shared" si="61"/>
        <v>Valid</v>
      </c>
      <c r="N381" s="17" t="str">
        <f t="shared" si="62"/>
        <v>Stable/Reducing</v>
      </c>
      <c r="O381" s="16">
        <f t="shared" si="63"/>
        <v>1.1888111888111887</v>
      </c>
      <c r="P381" s="14">
        <f t="shared" si="65"/>
        <v>6207.4285714285716</v>
      </c>
      <c r="Q381" s="16">
        <f t="shared" si="64"/>
        <v>2918.4580782596145</v>
      </c>
    </row>
    <row r="382" spans="1:17" x14ac:dyDescent="0.3">
      <c r="A382" s="13">
        <v>45509</v>
      </c>
      <c r="B382" s="13" t="str">
        <f t="shared" si="55"/>
        <v>August</v>
      </c>
      <c r="C382" s="13" t="str">
        <f t="shared" si="56"/>
        <v>2024-08</v>
      </c>
      <c r="D382" s="8">
        <v>172</v>
      </c>
      <c r="E382" s="8">
        <v>259</v>
      </c>
      <c r="F382" s="8">
        <v>138</v>
      </c>
      <c r="G382" s="8">
        <v>5950</v>
      </c>
      <c r="H382" s="8">
        <v>150</v>
      </c>
      <c r="I382" s="14">
        <f t="shared" si="57"/>
        <v>6209</v>
      </c>
      <c r="J382" s="14">
        <f t="shared" si="58"/>
        <v>-12</v>
      </c>
      <c r="K382" s="15">
        <f t="shared" si="59"/>
        <v>1.1596070220647446E-2</v>
      </c>
      <c r="L382" s="16" t="str">
        <f t="shared" si="60"/>
        <v>Valid</v>
      </c>
      <c r="M382" s="16" t="str">
        <f t="shared" si="61"/>
        <v>Valid</v>
      </c>
      <c r="N382" s="17" t="str">
        <f t="shared" si="62"/>
        <v>Stable/Reducing</v>
      </c>
      <c r="O382" s="16">
        <f t="shared" si="63"/>
        <v>1.0869565217391304</v>
      </c>
      <c r="P382" s="14">
        <f t="shared" si="65"/>
        <v>6223.1428571428569</v>
      </c>
      <c r="Q382" s="16">
        <f t="shared" si="64"/>
        <v>2918.4580782596145</v>
      </c>
    </row>
    <row r="383" spans="1:17" x14ac:dyDescent="0.3">
      <c r="A383" s="13">
        <v>45510</v>
      </c>
      <c r="B383" s="13" t="str">
        <f t="shared" si="55"/>
        <v>August</v>
      </c>
      <c r="C383" s="13" t="str">
        <f t="shared" si="56"/>
        <v>2024-08</v>
      </c>
      <c r="D383" s="8">
        <v>163</v>
      </c>
      <c r="E383" s="8">
        <v>283</v>
      </c>
      <c r="F383" s="8">
        <v>200</v>
      </c>
      <c r="G383" s="8">
        <v>5998</v>
      </c>
      <c r="H383" s="8">
        <v>143</v>
      </c>
      <c r="I383" s="14">
        <f t="shared" si="57"/>
        <v>6281</v>
      </c>
      <c r="J383" s="14">
        <f t="shared" si="58"/>
        <v>57</v>
      </c>
      <c r="K383" s="15">
        <f t="shared" si="59"/>
        <v>4.7763095048559143E-3</v>
      </c>
      <c r="L383" s="16" t="str">
        <f t="shared" si="60"/>
        <v>Valid</v>
      </c>
      <c r="M383" s="16" t="str">
        <f t="shared" si="61"/>
        <v>Valid</v>
      </c>
      <c r="N383" s="17" t="str">
        <f t="shared" si="62"/>
        <v>Increasing Pressure</v>
      </c>
      <c r="O383" s="16">
        <f t="shared" si="63"/>
        <v>0.71499999999999997</v>
      </c>
      <c r="P383" s="14">
        <f t="shared" si="65"/>
        <v>6223.7142857142853</v>
      </c>
      <c r="Q383" s="16">
        <f t="shared" si="64"/>
        <v>2918.4580782596145</v>
      </c>
    </row>
    <row r="384" spans="1:17" x14ac:dyDescent="0.3">
      <c r="A384" s="13">
        <v>45511</v>
      </c>
      <c r="B384" s="13" t="str">
        <f t="shared" si="55"/>
        <v>August</v>
      </c>
      <c r="C384" s="13" t="str">
        <f t="shared" si="56"/>
        <v>2024-08</v>
      </c>
      <c r="D384" s="8">
        <v>135</v>
      </c>
      <c r="E384" s="8">
        <v>273</v>
      </c>
      <c r="F384" s="8">
        <v>207</v>
      </c>
      <c r="G384" s="8">
        <v>6038</v>
      </c>
      <c r="H384" s="8">
        <v>174</v>
      </c>
      <c r="I384" s="14">
        <f t="shared" si="57"/>
        <v>6311</v>
      </c>
      <c r="J384" s="14">
        <f t="shared" si="58"/>
        <v>33</v>
      </c>
      <c r="K384" s="15">
        <f t="shared" si="59"/>
        <v>4.7536048169862145E-4</v>
      </c>
      <c r="L384" s="16" t="str">
        <f t="shared" si="60"/>
        <v>Valid</v>
      </c>
      <c r="M384" s="16" t="str">
        <f t="shared" si="61"/>
        <v>Valid</v>
      </c>
      <c r="N384" s="17" t="str">
        <f t="shared" si="62"/>
        <v>Increasing Pressure</v>
      </c>
      <c r="O384" s="16">
        <f t="shared" si="63"/>
        <v>0.84057971014492749</v>
      </c>
      <c r="P384" s="14">
        <f t="shared" si="65"/>
        <v>6203</v>
      </c>
      <c r="Q384" s="16">
        <f t="shared" si="64"/>
        <v>2918.4580782596145</v>
      </c>
    </row>
    <row r="385" spans="1:17" x14ac:dyDescent="0.3">
      <c r="A385" s="13">
        <v>45512</v>
      </c>
      <c r="B385" s="13" t="str">
        <f t="shared" si="55"/>
        <v>August</v>
      </c>
      <c r="C385" s="13" t="str">
        <f t="shared" si="56"/>
        <v>2024-08</v>
      </c>
      <c r="D385" s="8">
        <v>119</v>
      </c>
      <c r="E385" s="8">
        <v>230</v>
      </c>
      <c r="F385" s="8">
        <v>213</v>
      </c>
      <c r="G385" s="8">
        <v>6084</v>
      </c>
      <c r="H385" s="8">
        <v>174</v>
      </c>
      <c r="I385" s="14">
        <f t="shared" si="57"/>
        <v>6314</v>
      </c>
      <c r="J385" s="14">
        <f t="shared" si="58"/>
        <v>39</v>
      </c>
      <c r="K385" s="15">
        <f t="shared" si="59"/>
        <v>-3.3101045296167246E-2</v>
      </c>
      <c r="L385" s="16" t="str">
        <f t="shared" si="60"/>
        <v>Valid</v>
      </c>
      <c r="M385" s="16" t="str">
        <f t="shared" si="61"/>
        <v>Valid</v>
      </c>
      <c r="N385" s="17" t="str">
        <f t="shared" si="62"/>
        <v>Increasing Pressure</v>
      </c>
      <c r="O385" s="16">
        <f t="shared" si="63"/>
        <v>0.81690140845070425</v>
      </c>
      <c r="P385" s="14">
        <f t="shared" si="65"/>
        <v>6167.8571428571431</v>
      </c>
      <c r="Q385" s="16">
        <f t="shared" si="64"/>
        <v>2918.4580782596145</v>
      </c>
    </row>
    <row r="386" spans="1:17" x14ac:dyDescent="0.3">
      <c r="A386" s="13">
        <v>45515</v>
      </c>
      <c r="B386" s="13" t="str">
        <f t="shared" ref="B386:B449" si="66">TEXT(A386, "mmmm")</f>
        <v>August</v>
      </c>
      <c r="C386" s="13" t="str">
        <f t="shared" ref="C386:C449" si="67">TEXT(A386, "yyyy-mm")</f>
        <v>2024-08</v>
      </c>
      <c r="D386" s="8">
        <v>95</v>
      </c>
      <c r="E386" s="8">
        <v>211</v>
      </c>
      <c r="F386" s="8">
        <v>140</v>
      </c>
      <c r="G386" s="8">
        <v>5894</v>
      </c>
      <c r="H386" s="8">
        <v>249</v>
      </c>
      <c r="I386" s="14">
        <f t="shared" ref="I386:I449" si="68">SUM(G386+E386)</f>
        <v>6105</v>
      </c>
      <c r="J386" s="14">
        <f t="shared" ref="J386:J449" si="69">F386-H386</f>
        <v>-109</v>
      </c>
      <c r="K386" s="15">
        <f t="shared" ref="K386:K449" si="70">(I387-I386)/I386</f>
        <v>2.7846027846027844E-3</v>
      </c>
      <c r="L386" s="16" t="str">
        <f t="shared" ref="L386:L449" si="71">IF(F386&lt;=E386, "Valid", "Invalid")</f>
        <v>Valid</v>
      </c>
      <c r="M386" s="16" t="str">
        <f t="shared" ref="M386:M449" si="72">IF(H386&lt;=G386, "Valid", "Invalid")</f>
        <v>Valid</v>
      </c>
      <c r="N386" s="17" t="str">
        <f t="shared" ref="N386:N449" si="73">IF(J386&gt;0, "Increasing Pressure", "Stable/Reducing")</f>
        <v>Stable/Reducing</v>
      </c>
      <c r="O386" s="16">
        <f t="shared" ref="O386:O449" si="74">IFERROR(H386/F386, 0)</f>
        <v>1.7785714285714285</v>
      </c>
      <c r="P386" s="14">
        <f t="shared" si="65"/>
        <v>6140</v>
      </c>
      <c r="Q386" s="16">
        <f t="shared" ref="Q386:Q449" si="75">_xlfn.STDEV.S(I:I)</f>
        <v>2918.4580782596145</v>
      </c>
    </row>
    <row r="387" spans="1:17" x14ac:dyDescent="0.3">
      <c r="A387" s="13">
        <v>45516</v>
      </c>
      <c r="B387" s="13" t="str">
        <f t="shared" si="66"/>
        <v>August</v>
      </c>
      <c r="C387" s="13" t="str">
        <f t="shared" si="67"/>
        <v>2024-08</v>
      </c>
      <c r="D387" s="8">
        <v>109</v>
      </c>
      <c r="E387" s="8">
        <v>219</v>
      </c>
      <c r="F387" s="8">
        <v>155</v>
      </c>
      <c r="G387" s="8">
        <v>5903</v>
      </c>
      <c r="H387" s="8">
        <v>148</v>
      </c>
      <c r="I387" s="14">
        <f t="shared" si="68"/>
        <v>6122</v>
      </c>
      <c r="J387" s="14">
        <f t="shared" si="69"/>
        <v>7</v>
      </c>
      <c r="K387" s="15">
        <f t="shared" si="70"/>
        <v>1.6007840574975497E-2</v>
      </c>
      <c r="L387" s="16" t="str">
        <f t="shared" si="71"/>
        <v>Valid</v>
      </c>
      <c r="M387" s="16" t="str">
        <f t="shared" si="72"/>
        <v>Valid</v>
      </c>
      <c r="N387" s="17" t="str">
        <f t="shared" si="73"/>
        <v>Increasing Pressure</v>
      </c>
      <c r="O387" s="16">
        <f t="shared" si="74"/>
        <v>0.95483870967741935</v>
      </c>
      <c r="P387" s="14">
        <f t="shared" ref="P387:P450" si="76">AVERAGE(I387:I393)</f>
        <v>6163.4285714285716</v>
      </c>
      <c r="Q387" s="16">
        <f t="shared" si="75"/>
        <v>2918.4580782596145</v>
      </c>
    </row>
    <row r="388" spans="1:17" x14ac:dyDescent="0.3">
      <c r="A388" s="13">
        <v>45517</v>
      </c>
      <c r="B388" s="13" t="str">
        <f t="shared" si="66"/>
        <v>August</v>
      </c>
      <c r="C388" s="13" t="str">
        <f t="shared" si="67"/>
        <v>2024-08</v>
      </c>
      <c r="D388" s="8">
        <v>162</v>
      </c>
      <c r="E388" s="8">
        <v>239</v>
      </c>
      <c r="F388" s="8">
        <v>189</v>
      </c>
      <c r="G388" s="8">
        <v>5981</v>
      </c>
      <c r="H388" s="8">
        <v>123</v>
      </c>
      <c r="I388" s="14">
        <f t="shared" si="68"/>
        <v>6220</v>
      </c>
      <c r="J388" s="14">
        <f t="shared" si="69"/>
        <v>66</v>
      </c>
      <c r="K388" s="15">
        <f t="shared" si="70"/>
        <v>-1.1254019292604501E-3</v>
      </c>
      <c r="L388" s="16" t="str">
        <f t="shared" si="71"/>
        <v>Valid</v>
      </c>
      <c r="M388" s="16" t="str">
        <f t="shared" si="72"/>
        <v>Valid</v>
      </c>
      <c r="N388" s="17" t="str">
        <f t="shared" si="73"/>
        <v>Increasing Pressure</v>
      </c>
      <c r="O388" s="16">
        <f t="shared" si="74"/>
        <v>0.65079365079365081</v>
      </c>
      <c r="P388" s="14">
        <f t="shared" si="76"/>
        <v>6185</v>
      </c>
      <c r="Q388" s="16">
        <f t="shared" si="75"/>
        <v>2918.4580782596145</v>
      </c>
    </row>
    <row r="389" spans="1:17" x14ac:dyDescent="0.3">
      <c r="A389" s="13">
        <v>45518</v>
      </c>
      <c r="B389" s="13" t="str">
        <f t="shared" si="66"/>
        <v>August</v>
      </c>
      <c r="C389" s="13" t="str">
        <f t="shared" si="67"/>
        <v>2024-08</v>
      </c>
      <c r="D389" s="8">
        <v>109</v>
      </c>
      <c r="E389" s="8">
        <v>226</v>
      </c>
      <c r="F389" s="8">
        <v>191</v>
      </c>
      <c r="G389" s="8">
        <v>5987</v>
      </c>
      <c r="H389" s="8">
        <v>178</v>
      </c>
      <c r="I389" s="14">
        <f t="shared" si="68"/>
        <v>6213</v>
      </c>
      <c r="J389" s="14">
        <f t="shared" si="69"/>
        <v>13</v>
      </c>
      <c r="K389" s="15">
        <f t="shared" si="70"/>
        <v>-1.2393368742958313E-2</v>
      </c>
      <c r="L389" s="16" t="str">
        <f t="shared" si="71"/>
        <v>Valid</v>
      </c>
      <c r="M389" s="16" t="str">
        <f t="shared" si="72"/>
        <v>Valid</v>
      </c>
      <c r="N389" s="17" t="str">
        <f t="shared" si="73"/>
        <v>Increasing Pressure</v>
      </c>
      <c r="O389" s="16">
        <f t="shared" si="74"/>
        <v>0.93193717277486909</v>
      </c>
      <c r="P389" s="14">
        <f t="shared" si="76"/>
        <v>6205.1428571428569</v>
      </c>
      <c r="Q389" s="16">
        <f t="shared" si="75"/>
        <v>2918.4580782596145</v>
      </c>
    </row>
    <row r="390" spans="1:17" x14ac:dyDescent="0.3">
      <c r="A390" s="13">
        <v>45519</v>
      </c>
      <c r="B390" s="13" t="str">
        <f t="shared" si="66"/>
        <v>August</v>
      </c>
      <c r="C390" s="13" t="str">
        <f t="shared" si="67"/>
        <v>2024-08</v>
      </c>
      <c r="D390" s="8">
        <v>124</v>
      </c>
      <c r="E390" s="8">
        <v>241</v>
      </c>
      <c r="F390" s="8">
        <v>156</v>
      </c>
      <c r="G390" s="8">
        <v>5895</v>
      </c>
      <c r="H390" s="8">
        <v>220</v>
      </c>
      <c r="I390" s="14">
        <f t="shared" si="68"/>
        <v>6136</v>
      </c>
      <c r="J390" s="14">
        <f t="shared" si="69"/>
        <v>-64</v>
      </c>
      <c r="K390" s="15">
        <f t="shared" si="70"/>
        <v>-1.1571056062581487E-2</v>
      </c>
      <c r="L390" s="16" t="str">
        <f t="shared" si="71"/>
        <v>Valid</v>
      </c>
      <c r="M390" s="16" t="str">
        <f t="shared" si="72"/>
        <v>Valid</v>
      </c>
      <c r="N390" s="17" t="str">
        <f t="shared" si="73"/>
        <v>Stable/Reducing</v>
      </c>
      <c r="O390" s="16">
        <f t="shared" si="74"/>
        <v>1.4102564102564104</v>
      </c>
      <c r="P390" s="14">
        <f t="shared" si="76"/>
        <v>6237.1428571428569</v>
      </c>
      <c r="Q390" s="16">
        <f t="shared" si="75"/>
        <v>2918.4580782596145</v>
      </c>
    </row>
    <row r="391" spans="1:17" x14ac:dyDescent="0.3">
      <c r="A391" s="13">
        <v>45522</v>
      </c>
      <c r="B391" s="13" t="str">
        <f t="shared" si="66"/>
        <v>August</v>
      </c>
      <c r="C391" s="13" t="str">
        <f t="shared" si="67"/>
        <v>2024-08</v>
      </c>
      <c r="D391" s="8">
        <v>86</v>
      </c>
      <c r="E391" s="8">
        <v>244</v>
      </c>
      <c r="F391" s="8">
        <v>235</v>
      </c>
      <c r="G391" s="8">
        <v>5821</v>
      </c>
      <c r="H391" s="8">
        <v>178</v>
      </c>
      <c r="I391" s="14">
        <f t="shared" si="68"/>
        <v>6065</v>
      </c>
      <c r="J391" s="14">
        <f t="shared" si="69"/>
        <v>57</v>
      </c>
      <c r="K391" s="15">
        <f t="shared" si="70"/>
        <v>8.9035449299258041E-3</v>
      </c>
      <c r="L391" s="16" t="str">
        <f t="shared" si="71"/>
        <v>Valid</v>
      </c>
      <c r="M391" s="16" t="str">
        <f t="shared" si="72"/>
        <v>Valid</v>
      </c>
      <c r="N391" s="17" t="str">
        <f t="shared" si="73"/>
        <v>Increasing Pressure</v>
      </c>
      <c r="O391" s="16">
        <f t="shared" si="74"/>
        <v>0.75744680851063828</v>
      </c>
      <c r="P391" s="14">
        <f t="shared" si="76"/>
        <v>6290.8571428571431</v>
      </c>
      <c r="Q391" s="16">
        <f t="shared" si="75"/>
        <v>2918.4580782596145</v>
      </c>
    </row>
    <row r="392" spans="1:17" x14ac:dyDescent="0.3">
      <c r="A392" s="13">
        <v>45523</v>
      </c>
      <c r="B392" s="13" t="str">
        <f t="shared" si="66"/>
        <v>August</v>
      </c>
      <c r="C392" s="13" t="str">
        <f t="shared" si="67"/>
        <v>2024-08</v>
      </c>
      <c r="D392" s="8">
        <v>176</v>
      </c>
      <c r="E392" s="8">
        <v>254</v>
      </c>
      <c r="F392" s="8">
        <v>162</v>
      </c>
      <c r="G392" s="8">
        <v>5865</v>
      </c>
      <c r="H392" s="8">
        <v>158</v>
      </c>
      <c r="I392" s="14">
        <f t="shared" si="68"/>
        <v>6119</v>
      </c>
      <c r="J392" s="14">
        <f t="shared" si="69"/>
        <v>4</v>
      </c>
      <c r="K392" s="15">
        <f t="shared" si="70"/>
        <v>2.4513809445987907E-2</v>
      </c>
      <c r="L392" s="16" t="str">
        <f t="shared" si="71"/>
        <v>Valid</v>
      </c>
      <c r="M392" s="16" t="str">
        <f t="shared" si="72"/>
        <v>Valid</v>
      </c>
      <c r="N392" s="17" t="str">
        <f t="shared" si="73"/>
        <v>Increasing Pressure</v>
      </c>
      <c r="O392" s="16">
        <f t="shared" si="74"/>
        <v>0.97530864197530864</v>
      </c>
      <c r="P392" s="14">
        <f t="shared" si="76"/>
        <v>6359.4285714285716</v>
      </c>
      <c r="Q392" s="16">
        <f t="shared" si="75"/>
        <v>2918.4580782596145</v>
      </c>
    </row>
    <row r="393" spans="1:17" x14ac:dyDescent="0.3">
      <c r="A393" s="13">
        <v>45524</v>
      </c>
      <c r="B393" s="13" t="str">
        <f t="shared" si="66"/>
        <v>August</v>
      </c>
      <c r="C393" s="13" t="str">
        <f t="shared" si="67"/>
        <v>2024-08</v>
      </c>
      <c r="D393" s="8">
        <v>136</v>
      </c>
      <c r="E393" s="8">
        <v>274</v>
      </c>
      <c r="F393" s="8">
        <v>245</v>
      </c>
      <c r="G393" s="8">
        <v>5995</v>
      </c>
      <c r="H393" s="8">
        <v>112</v>
      </c>
      <c r="I393" s="14">
        <f t="shared" si="68"/>
        <v>6269</v>
      </c>
      <c r="J393" s="14">
        <f t="shared" si="69"/>
        <v>133</v>
      </c>
      <c r="K393" s="15">
        <f t="shared" si="70"/>
        <v>6.3806029669803796E-4</v>
      </c>
      <c r="L393" s="16" t="str">
        <f t="shared" si="71"/>
        <v>Valid</v>
      </c>
      <c r="M393" s="16" t="str">
        <f t="shared" si="72"/>
        <v>Valid</v>
      </c>
      <c r="N393" s="17" t="str">
        <f t="shared" si="73"/>
        <v>Increasing Pressure</v>
      </c>
      <c r="O393" s="16">
        <f t="shared" si="74"/>
        <v>0.45714285714285713</v>
      </c>
      <c r="P393" s="14">
        <f t="shared" si="76"/>
        <v>6408.4285714285716</v>
      </c>
      <c r="Q393" s="16">
        <f t="shared" si="75"/>
        <v>2918.4580782596145</v>
      </c>
    </row>
    <row r="394" spans="1:17" x14ac:dyDescent="0.3">
      <c r="A394" s="13">
        <v>45525</v>
      </c>
      <c r="B394" s="13" t="str">
        <f t="shared" si="66"/>
        <v>August</v>
      </c>
      <c r="C394" s="13" t="str">
        <f t="shared" si="67"/>
        <v>2024-08</v>
      </c>
      <c r="D394" s="8">
        <v>134</v>
      </c>
      <c r="E394" s="8">
        <v>245</v>
      </c>
      <c r="F394" s="8">
        <v>167</v>
      </c>
      <c r="G394" s="8">
        <v>6028</v>
      </c>
      <c r="H394" s="8">
        <v>156</v>
      </c>
      <c r="I394" s="14">
        <f t="shared" si="68"/>
        <v>6273</v>
      </c>
      <c r="J394" s="14">
        <f t="shared" si="69"/>
        <v>11</v>
      </c>
      <c r="K394" s="15">
        <f t="shared" si="70"/>
        <v>1.4028375577873425E-2</v>
      </c>
      <c r="L394" s="16" t="str">
        <f t="shared" si="71"/>
        <v>Valid</v>
      </c>
      <c r="M394" s="16" t="str">
        <f t="shared" si="72"/>
        <v>Valid</v>
      </c>
      <c r="N394" s="17" t="str">
        <f t="shared" si="73"/>
        <v>Increasing Pressure</v>
      </c>
      <c r="O394" s="16">
        <f t="shared" si="74"/>
        <v>0.93413173652694614</v>
      </c>
      <c r="P394" s="14">
        <f t="shared" si="76"/>
        <v>6446.4285714285716</v>
      </c>
      <c r="Q394" s="16">
        <f t="shared" si="75"/>
        <v>2918.4580782596145</v>
      </c>
    </row>
    <row r="395" spans="1:17" x14ac:dyDescent="0.3">
      <c r="A395" s="13">
        <v>45526</v>
      </c>
      <c r="B395" s="13" t="str">
        <f t="shared" si="66"/>
        <v>August</v>
      </c>
      <c r="C395" s="13" t="str">
        <f t="shared" si="67"/>
        <v>2024-08</v>
      </c>
      <c r="D395" s="8">
        <v>182</v>
      </c>
      <c r="E395" s="8">
        <v>307</v>
      </c>
      <c r="F395" s="8">
        <v>205</v>
      </c>
      <c r="G395" s="8">
        <v>6054</v>
      </c>
      <c r="H395" s="8">
        <v>171</v>
      </c>
      <c r="I395" s="14">
        <f t="shared" si="68"/>
        <v>6361</v>
      </c>
      <c r="J395" s="14">
        <f t="shared" si="69"/>
        <v>34</v>
      </c>
      <c r="K395" s="15">
        <f t="shared" si="70"/>
        <v>1.1947806948592989E-2</v>
      </c>
      <c r="L395" s="16" t="str">
        <f t="shared" si="71"/>
        <v>Valid</v>
      </c>
      <c r="M395" s="16" t="str">
        <f t="shared" si="72"/>
        <v>Valid</v>
      </c>
      <c r="N395" s="17" t="str">
        <f t="shared" si="73"/>
        <v>Increasing Pressure</v>
      </c>
      <c r="O395" s="16">
        <f t="shared" si="74"/>
        <v>0.8341463414634146</v>
      </c>
      <c r="P395" s="14">
        <f t="shared" si="76"/>
        <v>6494</v>
      </c>
      <c r="Q395" s="16">
        <f t="shared" si="75"/>
        <v>2918.4580782596145</v>
      </c>
    </row>
    <row r="396" spans="1:17" x14ac:dyDescent="0.3">
      <c r="A396" s="13">
        <v>45531</v>
      </c>
      <c r="B396" s="13" t="str">
        <f t="shared" si="66"/>
        <v>August</v>
      </c>
      <c r="C396" s="13" t="str">
        <f t="shared" si="67"/>
        <v>2024-08</v>
      </c>
      <c r="D396" s="8">
        <v>149</v>
      </c>
      <c r="E396" s="8">
        <v>285</v>
      </c>
      <c r="F396" s="8">
        <v>222</v>
      </c>
      <c r="G396" s="8">
        <v>6152</v>
      </c>
      <c r="H396" s="8">
        <v>97</v>
      </c>
      <c r="I396" s="14">
        <f t="shared" si="68"/>
        <v>6437</v>
      </c>
      <c r="J396" s="14">
        <f t="shared" si="69"/>
        <v>125</v>
      </c>
      <c r="K396" s="15">
        <f t="shared" si="70"/>
        <v>1.1651390399254311E-2</v>
      </c>
      <c r="L396" s="16" t="str">
        <f t="shared" si="71"/>
        <v>Valid</v>
      </c>
      <c r="M396" s="16" t="str">
        <f t="shared" si="72"/>
        <v>Valid</v>
      </c>
      <c r="N396" s="17" t="str">
        <f t="shared" si="73"/>
        <v>Increasing Pressure</v>
      </c>
      <c r="O396" s="16">
        <f t="shared" si="74"/>
        <v>0.43693693693693691</v>
      </c>
      <c r="P396" s="14">
        <f t="shared" si="76"/>
        <v>6539.2857142857147</v>
      </c>
      <c r="Q396" s="16">
        <f t="shared" si="75"/>
        <v>2918.4580782596145</v>
      </c>
    </row>
    <row r="397" spans="1:17" x14ac:dyDescent="0.3">
      <c r="A397" s="13">
        <v>45532</v>
      </c>
      <c r="B397" s="13" t="str">
        <f t="shared" si="66"/>
        <v>August</v>
      </c>
      <c r="C397" s="13" t="str">
        <f t="shared" si="67"/>
        <v>2024-08</v>
      </c>
      <c r="D397" s="8">
        <v>170</v>
      </c>
      <c r="E397" s="8">
        <v>285</v>
      </c>
      <c r="F397" s="8">
        <v>178</v>
      </c>
      <c r="G397" s="8">
        <v>6227</v>
      </c>
      <c r="H397" s="8">
        <v>134</v>
      </c>
      <c r="I397" s="14">
        <f t="shared" si="68"/>
        <v>6512</v>
      </c>
      <c r="J397" s="14">
        <f t="shared" si="69"/>
        <v>44</v>
      </c>
      <c r="K397" s="15">
        <f t="shared" si="70"/>
        <v>5.0675675675675678E-3</v>
      </c>
      <c r="L397" s="16" t="str">
        <f t="shared" si="71"/>
        <v>Valid</v>
      </c>
      <c r="M397" s="16" t="str">
        <f t="shared" si="72"/>
        <v>Valid</v>
      </c>
      <c r="N397" s="17" t="str">
        <f t="shared" si="73"/>
        <v>Increasing Pressure</v>
      </c>
      <c r="O397" s="16">
        <f t="shared" si="74"/>
        <v>0.7528089887640449</v>
      </c>
      <c r="P397" s="14">
        <f t="shared" si="76"/>
        <v>6557.8571428571431</v>
      </c>
      <c r="Q397" s="16">
        <f t="shared" si="75"/>
        <v>2918.4580782596145</v>
      </c>
    </row>
    <row r="398" spans="1:17" x14ac:dyDescent="0.3">
      <c r="A398" s="13">
        <v>45533</v>
      </c>
      <c r="B398" s="13" t="str">
        <f t="shared" si="66"/>
        <v>August</v>
      </c>
      <c r="C398" s="13" t="str">
        <f t="shared" si="67"/>
        <v>2024-08</v>
      </c>
      <c r="D398" s="8">
        <v>145</v>
      </c>
      <c r="E398" s="8">
        <v>295</v>
      </c>
      <c r="F398" s="8">
        <v>188</v>
      </c>
      <c r="G398" s="8">
        <v>6250</v>
      </c>
      <c r="H398" s="8">
        <v>169</v>
      </c>
      <c r="I398" s="14">
        <f t="shared" si="68"/>
        <v>6545</v>
      </c>
      <c r="J398" s="14">
        <f t="shared" si="69"/>
        <v>19</v>
      </c>
      <c r="K398" s="15">
        <f t="shared" si="70"/>
        <v>-1.2681436210847975E-2</v>
      </c>
      <c r="L398" s="16" t="str">
        <f t="shared" si="71"/>
        <v>Valid</v>
      </c>
      <c r="M398" s="16" t="str">
        <f t="shared" si="72"/>
        <v>Valid</v>
      </c>
      <c r="N398" s="17" t="str">
        <f t="shared" si="73"/>
        <v>Increasing Pressure</v>
      </c>
      <c r="O398" s="16">
        <f t="shared" si="74"/>
        <v>0.89893617021276595</v>
      </c>
      <c r="P398" s="14">
        <f t="shared" si="76"/>
        <v>6574.4285714285716</v>
      </c>
      <c r="Q398" s="16">
        <f t="shared" si="75"/>
        <v>2918.4580782596145</v>
      </c>
    </row>
    <row r="399" spans="1:17" x14ac:dyDescent="0.3">
      <c r="A399" s="13">
        <v>45537</v>
      </c>
      <c r="B399" s="13" t="str">
        <f t="shared" si="66"/>
        <v>September</v>
      </c>
      <c r="C399" s="13" t="str">
        <f t="shared" si="67"/>
        <v>2024-09</v>
      </c>
      <c r="D399" s="8">
        <v>133</v>
      </c>
      <c r="E399" s="8">
        <v>270</v>
      </c>
      <c r="F399" s="8">
        <v>198</v>
      </c>
      <c r="G399" s="8">
        <v>6192</v>
      </c>
      <c r="H399" s="8">
        <v>129</v>
      </c>
      <c r="I399" s="14">
        <f t="shared" si="68"/>
        <v>6462</v>
      </c>
      <c r="J399" s="14">
        <f t="shared" si="69"/>
        <v>69</v>
      </c>
      <c r="K399" s="15">
        <f t="shared" si="70"/>
        <v>1.1296812132466728E-2</v>
      </c>
      <c r="L399" s="16" t="str">
        <f t="shared" si="71"/>
        <v>Valid</v>
      </c>
      <c r="M399" s="16" t="str">
        <f t="shared" si="72"/>
        <v>Valid</v>
      </c>
      <c r="N399" s="17" t="str">
        <f t="shared" si="73"/>
        <v>Increasing Pressure</v>
      </c>
      <c r="O399" s="16">
        <f t="shared" si="74"/>
        <v>0.65151515151515149</v>
      </c>
      <c r="P399" s="14">
        <f t="shared" si="76"/>
        <v>6589</v>
      </c>
      <c r="Q399" s="16">
        <f t="shared" si="75"/>
        <v>2918.4580782596145</v>
      </c>
    </row>
    <row r="400" spans="1:17" x14ac:dyDescent="0.3">
      <c r="A400" s="13">
        <v>45538</v>
      </c>
      <c r="B400" s="13" t="str">
        <f t="shared" si="66"/>
        <v>September</v>
      </c>
      <c r="C400" s="13" t="str">
        <f t="shared" si="67"/>
        <v>2024-09</v>
      </c>
      <c r="D400" s="8">
        <v>131</v>
      </c>
      <c r="E400" s="8">
        <v>263</v>
      </c>
      <c r="F400" s="8">
        <v>177</v>
      </c>
      <c r="G400" s="8">
        <v>6272</v>
      </c>
      <c r="H400" s="8">
        <v>112</v>
      </c>
      <c r="I400" s="14">
        <f t="shared" si="68"/>
        <v>6535</v>
      </c>
      <c r="J400" s="14">
        <f t="shared" si="69"/>
        <v>65</v>
      </c>
      <c r="K400" s="15">
        <f t="shared" si="70"/>
        <v>1.0864575363427697E-2</v>
      </c>
      <c r="L400" s="16" t="str">
        <f t="shared" si="71"/>
        <v>Valid</v>
      </c>
      <c r="M400" s="16" t="str">
        <f t="shared" si="72"/>
        <v>Valid</v>
      </c>
      <c r="N400" s="17" t="str">
        <f t="shared" si="73"/>
        <v>Increasing Pressure</v>
      </c>
      <c r="O400" s="16">
        <f t="shared" si="74"/>
        <v>0.63276836158192096</v>
      </c>
      <c r="P400" s="14">
        <f t="shared" si="76"/>
        <v>6617</v>
      </c>
      <c r="Q400" s="16">
        <f t="shared" si="75"/>
        <v>2918.4580782596145</v>
      </c>
    </row>
    <row r="401" spans="1:17" x14ac:dyDescent="0.3">
      <c r="A401" s="13">
        <v>45539</v>
      </c>
      <c r="B401" s="13" t="str">
        <f t="shared" si="66"/>
        <v>September</v>
      </c>
      <c r="C401" s="13" t="str">
        <f t="shared" si="67"/>
        <v>2024-09</v>
      </c>
      <c r="D401" s="8">
        <v>121</v>
      </c>
      <c r="E401" s="8">
        <v>231</v>
      </c>
      <c r="F401" s="8">
        <v>219</v>
      </c>
      <c r="G401" s="8">
        <v>6375</v>
      </c>
      <c r="H401" s="8">
        <v>114</v>
      </c>
      <c r="I401" s="14">
        <f t="shared" si="68"/>
        <v>6606</v>
      </c>
      <c r="J401" s="14">
        <f t="shared" si="69"/>
        <v>105</v>
      </c>
      <c r="K401" s="15">
        <f t="shared" si="70"/>
        <v>1.0899182561307902E-2</v>
      </c>
      <c r="L401" s="16" t="str">
        <f t="shared" si="71"/>
        <v>Valid</v>
      </c>
      <c r="M401" s="16" t="str">
        <f t="shared" si="72"/>
        <v>Valid</v>
      </c>
      <c r="N401" s="17" t="str">
        <f t="shared" si="73"/>
        <v>Increasing Pressure</v>
      </c>
      <c r="O401" s="16">
        <f t="shared" si="74"/>
        <v>0.52054794520547942</v>
      </c>
      <c r="P401" s="14">
        <f t="shared" si="76"/>
        <v>6632</v>
      </c>
      <c r="Q401" s="16">
        <f t="shared" si="75"/>
        <v>2918.4580782596145</v>
      </c>
    </row>
    <row r="402" spans="1:17" x14ac:dyDescent="0.3">
      <c r="A402" s="13">
        <v>45540</v>
      </c>
      <c r="B402" s="13" t="str">
        <f t="shared" si="66"/>
        <v>September</v>
      </c>
      <c r="C402" s="13" t="str">
        <f t="shared" si="67"/>
        <v>2024-09</v>
      </c>
      <c r="D402" s="8">
        <v>126</v>
      </c>
      <c r="E402" s="8">
        <v>230</v>
      </c>
      <c r="F402" s="8">
        <v>175</v>
      </c>
      <c r="G402" s="8">
        <v>6448</v>
      </c>
      <c r="H402" s="8">
        <v>121</v>
      </c>
      <c r="I402" s="14">
        <f t="shared" si="68"/>
        <v>6678</v>
      </c>
      <c r="J402" s="14">
        <f t="shared" si="69"/>
        <v>54</v>
      </c>
      <c r="K402" s="15">
        <f t="shared" si="70"/>
        <v>-1.6621743036837375E-2</v>
      </c>
      <c r="L402" s="16" t="str">
        <f t="shared" si="71"/>
        <v>Valid</v>
      </c>
      <c r="M402" s="16" t="str">
        <f t="shared" si="72"/>
        <v>Valid</v>
      </c>
      <c r="N402" s="17" t="str">
        <f t="shared" si="73"/>
        <v>Increasing Pressure</v>
      </c>
      <c r="O402" s="16">
        <f t="shared" si="74"/>
        <v>0.69142857142857139</v>
      </c>
      <c r="P402" s="14">
        <f t="shared" si="76"/>
        <v>6620.5714285714284</v>
      </c>
      <c r="Q402" s="16">
        <f t="shared" si="75"/>
        <v>2918.4580782596145</v>
      </c>
    </row>
    <row r="403" spans="1:17" x14ac:dyDescent="0.3">
      <c r="A403" s="13">
        <v>45543</v>
      </c>
      <c r="B403" s="13" t="str">
        <f t="shared" si="66"/>
        <v>September</v>
      </c>
      <c r="C403" s="13" t="str">
        <f t="shared" si="67"/>
        <v>2024-09</v>
      </c>
      <c r="D403" s="8">
        <v>123</v>
      </c>
      <c r="E403" s="8">
        <v>255</v>
      </c>
      <c r="F403" s="8">
        <v>164</v>
      </c>
      <c r="G403" s="8">
        <v>6312</v>
      </c>
      <c r="H403" s="8">
        <v>221</v>
      </c>
      <c r="I403" s="14">
        <f t="shared" si="68"/>
        <v>6567</v>
      </c>
      <c r="J403" s="14">
        <f t="shared" si="69"/>
        <v>-57</v>
      </c>
      <c r="K403" s="15">
        <f t="shared" si="70"/>
        <v>9.2888685853509973E-3</v>
      </c>
      <c r="L403" s="16" t="str">
        <f t="shared" si="71"/>
        <v>Valid</v>
      </c>
      <c r="M403" s="16" t="str">
        <f t="shared" si="72"/>
        <v>Valid</v>
      </c>
      <c r="N403" s="17" t="str">
        <f t="shared" si="73"/>
        <v>Stable/Reducing</v>
      </c>
      <c r="O403" s="16">
        <f t="shared" si="74"/>
        <v>1.3475609756097562</v>
      </c>
      <c r="P403" s="14">
        <f t="shared" si="76"/>
        <v>6588.5714285714284</v>
      </c>
      <c r="Q403" s="16">
        <f t="shared" si="75"/>
        <v>2918.4580782596145</v>
      </c>
    </row>
    <row r="404" spans="1:17" x14ac:dyDescent="0.3">
      <c r="A404" s="13">
        <v>45544</v>
      </c>
      <c r="B404" s="13" t="str">
        <f t="shared" si="66"/>
        <v>September</v>
      </c>
      <c r="C404" s="13" t="str">
        <f t="shared" si="67"/>
        <v>2024-09</v>
      </c>
      <c r="D404" s="8">
        <v>144</v>
      </c>
      <c r="E404" s="8">
        <v>275</v>
      </c>
      <c r="F404" s="8">
        <v>190</v>
      </c>
      <c r="G404" s="8">
        <v>6353</v>
      </c>
      <c r="H404" s="8">
        <v>141</v>
      </c>
      <c r="I404" s="14">
        <f t="shared" si="68"/>
        <v>6628</v>
      </c>
      <c r="J404" s="14">
        <f t="shared" si="69"/>
        <v>49</v>
      </c>
      <c r="K404" s="15">
        <f t="shared" si="70"/>
        <v>2.8666264333132166E-3</v>
      </c>
      <c r="L404" s="16" t="str">
        <f t="shared" si="71"/>
        <v>Valid</v>
      </c>
      <c r="M404" s="16" t="str">
        <f t="shared" si="72"/>
        <v>Valid</v>
      </c>
      <c r="N404" s="17" t="str">
        <f t="shared" si="73"/>
        <v>Increasing Pressure</v>
      </c>
      <c r="O404" s="16">
        <f t="shared" si="74"/>
        <v>0.74210526315789471</v>
      </c>
      <c r="P404" s="14">
        <f t="shared" si="76"/>
        <v>6570.1428571428569</v>
      </c>
      <c r="Q404" s="16">
        <f t="shared" si="75"/>
        <v>2918.4580782596145</v>
      </c>
    </row>
    <row r="405" spans="1:17" x14ac:dyDescent="0.3">
      <c r="A405" s="13">
        <v>45545</v>
      </c>
      <c r="B405" s="13" t="str">
        <f t="shared" si="66"/>
        <v>September</v>
      </c>
      <c r="C405" s="13" t="str">
        <f t="shared" si="67"/>
        <v>2024-09</v>
      </c>
      <c r="D405" s="8">
        <v>131</v>
      </c>
      <c r="E405" s="8">
        <v>251</v>
      </c>
      <c r="F405" s="8">
        <v>180</v>
      </c>
      <c r="G405" s="8">
        <v>6396</v>
      </c>
      <c r="H405" s="8">
        <v>148</v>
      </c>
      <c r="I405" s="14">
        <f t="shared" si="68"/>
        <v>6647</v>
      </c>
      <c r="J405" s="14">
        <f t="shared" si="69"/>
        <v>32</v>
      </c>
      <c r="K405" s="15">
        <f t="shared" si="70"/>
        <v>1.6548819016097489E-3</v>
      </c>
      <c r="L405" s="16" t="str">
        <f t="shared" si="71"/>
        <v>Valid</v>
      </c>
      <c r="M405" s="16" t="str">
        <f t="shared" si="72"/>
        <v>Valid</v>
      </c>
      <c r="N405" s="17" t="str">
        <f t="shared" si="73"/>
        <v>Increasing Pressure</v>
      </c>
      <c r="O405" s="16">
        <f t="shared" si="74"/>
        <v>0.82222222222222219</v>
      </c>
      <c r="P405" s="14">
        <f t="shared" si="76"/>
        <v>6556.2857142857147</v>
      </c>
      <c r="Q405" s="16">
        <f t="shared" si="75"/>
        <v>2918.4580782596145</v>
      </c>
    </row>
    <row r="406" spans="1:17" x14ac:dyDescent="0.3">
      <c r="A406" s="13">
        <v>45546</v>
      </c>
      <c r="B406" s="13" t="str">
        <f t="shared" si="66"/>
        <v>September</v>
      </c>
      <c r="C406" s="13" t="str">
        <f t="shared" si="67"/>
        <v>2024-09</v>
      </c>
      <c r="D406" s="8">
        <v>93</v>
      </c>
      <c r="E406" s="8">
        <v>248</v>
      </c>
      <c r="F406" s="8">
        <v>175</v>
      </c>
      <c r="G406" s="8">
        <v>6410</v>
      </c>
      <c r="H406" s="8">
        <v>162</v>
      </c>
      <c r="I406" s="14">
        <f t="shared" si="68"/>
        <v>6658</v>
      </c>
      <c r="J406" s="14">
        <f t="shared" si="69"/>
        <v>13</v>
      </c>
      <c r="K406" s="15">
        <f t="shared" si="70"/>
        <v>-2.7035145689396217E-3</v>
      </c>
      <c r="L406" s="16" t="str">
        <f t="shared" si="71"/>
        <v>Valid</v>
      </c>
      <c r="M406" s="16" t="str">
        <f t="shared" si="72"/>
        <v>Valid</v>
      </c>
      <c r="N406" s="17" t="str">
        <f t="shared" si="73"/>
        <v>Increasing Pressure</v>
      </c>
      <c r="O406" s="16">
        <f t="shared" si="74"/>
        <v>0.92571428571428571</v>
      </c>
      <c r="P406" s="14">
        <f t="shared" si="76"/>
        <v>6529.2857142857147</v>
      </c>
      <c r="Q406" s="16">
        <f t="shared" si="75"/>
        <v>2918.4580782596145</v>
      </c>
    </row>
    <row r="407" spans="1:17" x14ac:dyDescent="0.3">
      <c r="A407" s="13">
        <v>45547</v>
      </c>
      <c r="B407" s="13" t="str">
        <f t="shared" si="66"/>
        <v>September</v>
      </c>
      <c r="C407" s="13" t="str">
        <f t="shared" si="67"/>
        <v>2024-09</v>
      </c>
      <c r="D407" s="8">
        <v>184</v>
      </c>
      <c r="E407" s="8">
        <v>280</v>
      </c>
      <c r="F407" s="8">
        <v>210</v>
      </c>
      <c r="G407" s="8">
        <v>6360</v>
      </c>
      <c r="H407" s="8">
        <v>220</v>
      </c>
      <c r="I407" s="14">
        <f t="shared" si="68"/>
        <v>6640</v>
      </c>
      <c r="J407" s="14">
        <f t="shared" si="69"/>
        <v>-10</v>
      </c>
      <c r="K407" s="15">
        <f t="shared" si="70"/>
        <v>-1.716867469879518E-2</v>
      </c>
      <c r="L407" s="16" t="str">
        <f t="shared" si="71"/>
        <v>Valid</v>
      </c>
      <c r="M407" s="16" t="str">
        <f t="shared" si="72"/>
        <v>Valid</v>
      </c>
      <c r="N407" s="17" t="str">
        <f t="shared" si="73"/>
        <v>Stable/Reducing</v>
      </c>
      <c r="O407" s="16">
        <f t="shared" si="74"/>
        <v>1.0476190476190477</v>
      </c>
      <c r="P407" s="14">
        <f t="shared" si="76"/>
        <v>6501.8571428571431</v>
      </c>
      <c r="Q407" s="16">
        <f t="shared" si="75"/>
        <v>2918.4580782596145</v>
      </c>
    </row>
    <row r="408" spans="1:17" x14ac:dyDescent="0.3">
      <c r="A408" s="13">
        <v>45548</v>
      </c>
      <c r="B408" s="13" t="str">
        <f t="shared" si="66"/>
        <v>September</v>
      </c>
      <c r="C408" s="13" t="str">
        <f t="shared" si="67"/>
        <v>2024-09</v>
      </c>
      <c r="D408" s="8">
        <v>81</v>
      </c>
      <c r="E408" s="8">
        <v>200</v>
      </c>
      <c r="F408" s="8">
        <v>212</v>
      </c>
      <c r="G408" s="8">
        <v>6326</v>
      </c>
      <c r="H408" s="8">
        <v>279</v>
      </c>
      <c r="I408" s="14">
        <f t="shared" si="68"/>
        <v>6526</v>
      </c>
      <c r="J408" s="14">
        <f t="shared" si="69"/>
        <v>-67</v>
      </c>
      <c r="K408" s="15">
        <f t="shared" si="70"/>
        <v>-1.1032791909285933E-2</v>
      </c>
      <c r="L408" s="16" t="str">
        <f t="shared" si="71"/>
        <v>Invalid</v>
      </c>
      <c r="M408" s="16" t="str">
        <f t="shared" si="72"/>
        <v>Valid</v>
      </c>
      <c r="N408" s="17" t="str">
        <f t="shared" si="73"/>
        <v>Stable/Reducing</v>
      </c>
      <c r="O408" s="16">
        <f t="shared" si="74"/>
        <v>1.3160377358490567</v>
      </c>
      <c r="P408" s="14">
        <f t="shared" si="76"/>
        <v>6442.2857142857147</v>
      </c>
      <c r="Q408" s="16">
        <f t="shared" si="75"/>
        <v>2918.4580782596145</v>
      </c>
    </row>
    <row r="409" spans="1:17" x14ac:dyDescent="0.3">
      <c r="A409" s="13">
        <v>45550</v>
      </c>
      <c r="B409" s="13" t="str">
        <f t="shared" si="66"/>
        <v>September</v>
      </c>
      <c r="C409" s="13" t="str">
        <f t="shared" si="67"/>
        <v>2024-09</v>
      </c>
      <c r="D409" s="8">
        <v>98</v>
      </c>
      <c r="E409" s="8">
        <v>220</v>
      </c>
      <c r="F409" s="8">
        <v>167</v>
      </c>
      <c r="G409" s="8">
        <v>6234</v>
      </c>
      <c r="H409" s="8">
        <v>210</v>
      </c>
      <c r="I409" s="14">
        <f t="shared" si="68"/>
        <v>6454</v>
      </c>
      <c r="J409" s="14">
        <f t="shared" si="69"/>
        <v>-43</v>
      </c>
      <c r="K409" s="15">
        <f t="shared" si="70"/>
        <v>-2.4790827393864272E-3</v>
      </c>
      <c r="L409" s="16" t="str">
        <f t="shared" si="71"/>
        <v>Valid</v>
      </c>
      <c r="M409" s="16" t="str">
        <f t="shared" si="72"/>
        <v>Valid</v>
      </c>
      <c r="N409" s="17" t="str">
        <f t="shared" si="73"/>
        <v>Stable/Reducing</v>
      </c>
      <c r="O409" s="16">
        <f t="shared" si="74"/>
        <v>1.2574850299401197</v>
      </c>
      <c r="P409" s="14">
        <f t="shared" si="76"/>
        <v>6396.4285714285716</v>
      </c>
      <c r="Q409" s="16">
        <f t="shared" si="75"/>
        <v>2918.4580782596145</v>
      </c>
    </row>
    <row r="410" spans="1:17" x14ac:dyDescent="0.3">
      <c r="A410" s="13">
        <v>45551</v>
      </c>
      <c r="B410" s="13" t="str">
        <f t="shared" si="66"/>
        <v>September</v>
      </c>
      <c r="C410" s="13" t="str">
        <f t="shared" si="67"/>
        <v>2024-09</v>
      </c>
      <c r="D410" s="8">
        <v>113</v>
      </c>
      <c r="E410" s="8">
        <v>209</v>
      </c>
      <c r="F410" s="8">
        <v>160</v>
      </c>
      <c r="G410" s="8">
        <v>6229</v>
      </c>
      <c r="H410" s="8">
        <v>164</v>
      </c>
      <c r="I410" s="14">
        <f t="shared" si="68"/>
        <v>6438</v>
      </c>
      <c r="J410" s="14">
        <f t="shared" si="69"/>
        <v>-4</v>
      </c>
      <c r="K410" s="15">
        <f t="shared" si="70"/>
        <v>1.4445479962721343E-2</v>
      </c>
      <c r="L410" s="16" t="str">
        <f t="shared" si="71"/>
        <v>Valid</v>
      </c>
      <c r="M410" s="16" t="str">
        <f t="shared" si="72"/>
        <v>Valid</v>
      </c>
      <c r="N410" s="17" t="str">
        <f t="shared" si="73"/>
        <v>Stable/Reducing</v>
      </c>
      <c r="O410" s="16">
        <f t="shared" si="74"/>
        <v>1.0249999999999999</v>
      </c>
      <c r="P410" s="14">
        <f t="shared" si="76"/>
        <v>6371.8571428571431</v>
      </c>
      <c r="Q410" s="16">
        <f t="shared" si="75"/>
        <v>2918.4580782596145</v>
      </c>
    </row>
    <row r="411" spans="1:17" x14ac:dyDescent="0.3">
      <c r="A411" s="13">
        <v>45552</v>
      </c>
      <c r="B411" s="13" t="str">
        <f t="shared" si="66"/>
        <v>September</v>
      </c>
      <c r="C411" s="13" t="str">
        <f t="shared" si="67"/>
        <v>2024-09</v>
      </c>
      <c r="D411" s="8">
        <v>159</v>
      </c>
      <c r="E411" s="8">
        <v>304</v>
      </c>
      <c r="F411" s="8">
        <v>139</v>
      </c>
      <c r="G411" s="8">
        <v>6227</v>
      </c>
      <c r="H411" s="8">
        <v>160</v>
      </c>
      <c r="I411" s="14">
        <f t="shared" si="68"/>
        <v>6531</v>
      </c>
      <c r="J411" s="14">
        <f t="shared" si="69"/>
        <v>-21</v>
      </c>
      <c r="K411" s="15">
        <f t="shared" si="70"/>
        <v>-1.1177461338233042E-2</v>
      </c>
      <c r="L411" s="16" t="str">
        <f t="shared" si="71"/>
        <v>Valid</v>
      </c>
      <c r="M411" s="16" t="str">
        <f t="shared" si="72"/>
        <v>Valid</v>
      </c>
      <c r="N411" s="17" t="str">
        <f t="shared" si="73"/>
        <v>Stable/Reducing</v>
      </c>
      <c r="O411" s="16">
        <f t="shared" si="74"/>
        <v>1.1510791366906474</v>
      </c>
      <c r="P411" s="14">
        <f t="shared" si="76"/>
        <v>6348.5714285714284</v>
      </c>
      <c r="Q411" s="16">
        <f t="shared" si="75"/>
        <v>2918.4580782596145</v>
      </c>
    </row>
    <row r="412" spans="1:17" x14ac:dyDescent="0.3">
      <c r="A412" s="13">
        <v>45553</v>
      </c>
      <c r="B412" s="13" t="str">
        <f t="shared" si="66"/>
        <v>September</v>
      </c>
      <c r="C412" s="13" t="str">
        <f t="shared" si="67"/>
        <v>2024-09</v>
      </c>
      <c r="D412" s="8">
        <v>116</v>
      </c>
      <c r="E412" s="8">
        <v>213</v>
      </c>
      <c r="F412" s="8">
        <v>217</v>
      </c>
      <c r="G412" s="8">
        <v>6245</v>
      </c>
      <c r="H412" s="8">
        <v>149</v>
      </c>
      <c r="I412" s="14">
        <f t="shared" si="68"/>
        <v>6458</v>
      </c>
      <c r="J412" s="14">
        <f t="shared" si="69"/>
        <v>68</v>
      </c>
      <c r="K412" s="15">
        <f t="shared" si="70"/>
        <v>1.2387736141220192E-3</v>
      </c>
      <c r="L412" s="16" t="str">
        <f t="shared" si="71"/>
        <v>Invalid</v>
      </c>
      <c r="M412" s="16" t="str">
        <f t="shared" si="72"/>
        <v>Valid</v>
      </c>
      <c r="N412" s="17" t="str">
        <f t="shared" si="73"/>
        <v>Increasing Pressure</v>
      </c>
      <c r="O412" s="16">
        <f t="shared" si="74"/>
        <v>0.68663594470046085</v>
      </c>
      <c r="P412" s="14">
        <f t="shared" si="76"/>
        <v>6314</v>
      </c>
      <c r="Q412" s="16">
        <f t="shared" si="75"/>
        <v>2918.4580782596145</v>
      </c>
    </row>
    <row r="413" spans="1:17" x14ac:dyDescent="0.3">
      <c r="A413" s="13">
        <v>45554</v>
      </c>
      <c r="B413" s="13" t="str">
        <f t="shared" si="66"/>
        <v>September</v>
      </c>
      <c r="C413" s="13" t="str">
        <f t="shared" si="67"/>
        <v>2024-09</v>
      </c>
      <c r="D413" s="8">
        <v>93</v>
      </c>
      <c r="E413" s="8">
        <v>196</v>
      </c>
      <c r="F413" s="8">
        <v>169</v>
      </c>
      <c r="G413" s="8">
        <v>6270</v>
      </c>
      <c r="H413" s="8">
        <v>188</v>
      </c>
      <c r="I413" s="14">
        <f t="shared" si="68"/>
        <v>6466</v>
      </c>
      <c r="J413" s="14">
        <f t="shared" si="69"/>
        <v>-19</v>
      </c>
      <c r="K413" s="15">
        <f t="shared" si="70"/>
        <v>-3.7581193937519332E-2</v>
      </c>
      <c r="L413" s="16" t="str">
        <f t="shared" si="71"/>
        <v>Valid</v>
      </c>
      <c r="M413" s="16" t="str">
        <f t="shared" si="72"/>
        <v>Valid</v>
      </c>
      <c r="N413" s="17" t="str">
        <f t="shared" si="73"/>
        <v>Stable/Reducing</v>
      </c>
      <c r="O413" s="16">
        <f t="shared" si="74"/>
        <v>1.1124260355029585</v>
      </c>
      <c r="P413" s="14">
        <f t="shared" si="76"/>
        <v>6268.2857142857147</v>
      </c>
      <c r="Q413" s="16">
        <f t="shared" si="75"/>
        <v>2918.4580782596145</v>
      </c>
    </row>
    <row r="414" spans="1:17" x14ac:dyDescent="0.3">
      <c r="A414" s="13">
        <v>45557</v>
      </c>
      <c r="B414" s="13" t="str">
        <f t="shared" si="66"/>
        <v>September</v>
      </c>
      <c r="C414" s="13" t="str">
        <f t="shared" si="67"/>
        <v>2024-09</v>
      </c>
      <c r="D414" s="8">
        <v>124</v>
      </c>
      <c r="E414" s="8">
        <v>234</v>
      </c>
      <c r="F414" s="8">
        <v>161</v>
      </c>
      <c r="G414" s="8">
        <v>5989</v>
      </c>
      <c r="H414" s="8">
        <v>197</v>
      </c>
      <c r="I414" s="14">
        <f t="shared" si="68"/>
        <v>6223</v>
      </c>
      <c r="J414" s="14">
        <f t="shared" si="69"/>
        <v>-36</v>
      </c>
      <c r="K414" s="15">
        <f t="shared" si="70"/>
        <v>-2.8924955809095294E-3</v>
      </c>
      <c r="L414" s="16" t="str">
        <f t="shared" si="71"/>
        <v>Valid</v>
      </c>
      <c r="M414" s="16" t="str">
        <f t="shared" si="72"/>
        <v>Valid</v>
      </c>
      <c r="N414" s="17" t="str">
        <f t="shared" si="73"/>
        <v>Stable/Reducing</v>
      </c>
      <c r="O414" s="16">
        <f t="shared" si="74"/>
        <v>1.2236024844720497</v>
      </c>
      <c r="P414" s="14">
        <f t="shared" si="76"/>
        <v>6237.7142857142853</v>
      </c>
      <c r="Q414" s="16">
        <f t="shared" si="75"/>
        <v>2918.4580782596145</v>
      </c>
    </row>
    <row r="415" spans="1:17" x14ac:dyDescent="0.3">
      <c r="A415" s="13">
        <v>45558</v>
      </c>
      <c r="B415" s="13" t="str">
        <f t="shared" si="66"/>
        <v>September</v>
      </c>
      <c r="C415" s="13" t="str">
        <f t="shared" si="67"/>
        <v>2024-09</v>
      </c>
      <c r="D415" s="8">
        <v>92</v>
      </c>
      <c r="E415" s="8">
        <v>203</v>
      </c>
      <c r="F415" s="8">
        <v>173</v>
      </c>
      <c r="G415" s="8">
        <v>6002</v>
      </c>
      <c r="H415" s="8">
        <v>165</v>
      </c>
      <c r="I415" s="14">
        <f t="shared" si="68"/>
        <v>6205</v>
      </c>
      <c r="J415" s="14">
        <f t="shared" si="69"/>
        <v>8</v>
      </c>
      <c r="K415" s="15">
        <f t="shared" si="70"/>
        <v>1.2409347300564061E-2</v>
      </c>
      <c r="L415" s="16" t="str">
        <f t="shared" si="71"/>
        <v>Valid</v>
      </c>
      <c r="M415" s="16" t="str">
        <f t="shared" si="72"/>
        <v>Valid</v>
      </c>
      <c r="N415" s="17" t="str">
        <f t="shared" si="73"/>
        <v>Increasing Pressure</v>
      </c>
      <c r="O415" s="16">
        <f t="shared" si="74"/>
        <v>0.95375722543352603</v>
      </c>
      <c r="P415" s="14">
        <f t="shared" si="76"/>
        <v>6256.4285714285716</v>
      </c>
      <c r="Q415" s="16">
        <f t="shared" si="75"/>
        <v>2918.4580782596145</v>
      </c>
    </row>
    <row r="416" spans="1:17" x14ac:dyDescent="0.3">
      <c r="A416" s="13">
        <v>45559</v>
      </c>
      <c r="B416" s="13" t="str">
        <f t="shared" si="66"/>
        <v>September</v>
      </c>
      <c r="C416" s="13" t="str">
        <f t="shared" si="67"/>
        <v>2024-09</v>
      </c>
      <c r="D416" s="8">
        <v>186</v>
      </c>
      <c r="E416" s="8">
        <v>259</v>
      </c>
      <c r="F416" s="8">
        <v>172</v>
      </c>
      <c r="G416" s="8">
        <v>6023</v>
      </c>
      <c r="H416" s="8">
        <v>143</v>
      </c>
      <c r="I416" s="14">
        <f t="shared" si="68"/>
        <v>6282</v>
      </c>
      <c r="J416" s="14">
        <f t="shared" si="69"/>
        <v>29</v>
      </c>
      <c r="K416" s="15">
        <f t="shared" si="70"/>
        <v>-1.1142948105698821E-3</v>
      </c>
      <c r="L416" s="16" t="str">
        <f t="shared" si="71"/>
        <v>Valid</v>
      </c>
      <c r="M416" s="16" t="str">
        <f t="shared" si="72"/>
        <v>Valid</v>
      </c>
      <c r="N416" s="17" t="str">
        <f t="shared" si="73"/>
        <v>Increasing Pressure</v>
      </c>
      <c r="O416" s="16">
        <f t="shared" si="74"/>
        <v>0.83139534883720934</v>
      </c>
      <c r="P416" s="14">
        <f t="shared" si="76"/>
        <v>6270.8571428571431</v>
      </c>
      <c r="Q416" s="16">
        <f t="shared" si="75"/>
        <v>2918.4580782596145</v>
      </c>
    </row>
    <row r="417" spans="1:17" x14ac:dyDescent="0.3">
      <c r="A417" s="13">
        <v>45560</v>
      </c>
      <c r="B417" s="13" t="str">
        <f t="shared" si="66"/>
        <v>September</v>
      </c>
      <c r="C417" s="13" t="str">
        <f t="shared" si="67"/>
        <v>2024-09</v>
      </c>
      <c r="D417" s="8">
        <v>154</v>
      </c>
      <c r="E417" s="8">
        <v>225</v>
      </c>
      <c r="F417" s="8">
        <v>220</v>
      </c>
      <c r="G417" s="8">
        <v>6050</v>
      </c>
      <c r="H417" s="8">
        <v>169</v>
      </c>
      <c r="I417" s="14">
        <f t="shared" si="68"/>
        <v>6275</v>
      </c>
      <c r="J417" s="14">
        <f t="shared" si="69"/>
        <v>51</v>
      </c>
      <c r="K417" s="15">
        <f t="shared" si="70"/>
        <v>2.2310756972111555E-3</v>
      </c>
      <c r="L417" s="16" t="str">
        <f t="shared" si="71"/>
        <v>Valid</v>
      </c>
      <c r="M417" s="16" t="str">
        <f t="shared" si="72"/>
        <v>Valid</v>
      </c>
      <c r="N417" s="17" t="str">
        <f t="shared" si="73"/>
        <v>Increasing Pressure</v>
      </c>
      <c r="O417" s="16">
        <f t="shared" si="74"/>
        <v>0.76818181818181819</v>
      </c>
      <c r="P417" s="14">
        <f t="shared" si="76"/>
        <v>6270.5714285714284</v>
      </c>
      <c r="Q417" s="16">
        <f t="shared" si="75"/>
        <v>2918.4580782596145</v>
      </c>
    </row>
    <row r="418" spans="1:17" x14ac:dyDescent="0.3">
      <c r="A418" s="13">
        <v>45561</v>
      </c>
      <c r="B418" s="13" t="str">
        <f t="shared" si="66"/>
        <v>September</v>
      </c>
      <c r="C418" s="13" t="str">
        <f t="shared" si="67"/>
        <v>2024-09</v>
      </c>
      <c r="D418" s="8">
        <v>91</v>
      </c>
      <c r="E418" s="8">
        <v>199</v>
      </c>
      <c r="F418" s="8">
        <v>172</v>
      </c>
      <c r="G418" s="8">
        <v>6090</v>
      </c>
      <c r="H418" s="8">
        <v>185</v>
      </c>
      <c r="I418" s="14">
        <f t="shared" si="68"/>
        <v>6289</v>
      </c>
      <c r="J418" s="14">
        <f t="shared" si="69"/>
        <v>-13</v>
      </c>
      <c r="K418" s="15">
        <f t="shared" si="70"/>
        <v>-2.4010176498648433E-2</v>
      </c>
      <c r="L418" s="16" t="str">
        <f t="shared" si="71"/>
        <v>Valid</v>
      </c>
      <c r="M418" s="16" t="str">
        <f t="shared" si="72"/>
        <v>Valid</v>
      </c>
      <c r="N418" s="17" t="str">
        <f t="shared" si="73"/>
        <v>Stable/Reducing</v>
      </c>
      <c r="O418" s="16">
        <f t="shared" si="74"/>
        <v>1.0755813953488371</v>
      </c>
      <c r="P418" s="14">
        <f t="shared" si="76"/>
        <v>6253.8571428571431</v>
      </c>
      <c r="Q418" s="16">
        <f t="shared" si="75"/>
        <v>2918.4580782596145</v>
      </c>
    </row>
    <row r="419" spans="1:17" x14ac:dyDescent="0.3">
      <c r="A419" s="13">
        <v>45564</v>
      </c>
      <c r="B419" s="13" t="str">
        <f t="shared" si="66"/>
        <v>September</v>
      </c>
      <c r="C419" s="13" t="str">
        <f t="shared" si="67"/>
        <v>2024-09</v>
      </c>
      <c r="D419" s="8">
        <v>81</v>
      </c>
      <c r="E419" s="8">
        <v>213</v>
      </c>
      <c r="F419" s="8">
        <v>153</v>
      </c>
      <c r="G419" s="8">
        <v>5925</v>
      </c>
      <c r="H419" s="8">
        <v>177</v>
      </c>
      <c r="I419" s="14">
        <f t="shared" si="68"/>
        <v>6138</v>
      </c>
      <c r="J419" s="14">
        <f t="shared" si="69"/>
        <v>-24</v>
      </c>
      <c r="K419" s="15">
        <f t="shared" si="70"/>
        <v>1.8572825024437929E-2</v>
      </c>
      <c r="L419" s="16" t="str">
        <f t="shared" si="71"/>
        <v>Valid</v>
      </c>
      <c r="M419" s="16" t="str">
        <f t="shared" si="72"/>
        <v>Valid</v>
      </c>
      <c r="N419" s="17" t="str">
        <f t="shared" si="73"/>
        <v>Stable/Reducing</v>
      </c>
      <c r="O419" s="16">
        <f t="shared" si="74"/>
        <v>1.1568627450980393</v>
      </c>
      <c r="P419" s="14">
        <f t="shared" si="76"/>
        <v>6248.5714285714284</v>
      </c>
      <c r="Q419" s="16">
        <f t="shared" si="75"/>
        <v>2918.4580782596145</v>
      </c>
    </row>
    <row r="420" spans="1:17" x14ac:dyDescent="0.3">
      <c r="A420" s="13">
        <v>45565</v>
      </c>
      <c r="B420" s="13" t="str">
        <f t="shared" si="66"/>
        <v>September</v>
      </c>
      <c r="C420" s="13" t="str">
        <f t="shared" si="67"/>
        <v>2024-09</v>
      </c>
      <c r="D420" s="8">
        <v>209</v>
      </c>
      <c r="E420" s="8">
        <v>285</v>
      </c>
      <c r="F420" s="8">
        <v>184</v>
      </c>
      <c r="G420" s="8">
        <v>5967</v>
      </c>
      <c r="H420" s="8">
        <v>138</v>
      </c>
      <c r="I420" s="14">
        <f t="shared" si="68"/>
        <v>6252</v>
      </c>
      <c r="J420" s="14">
        <f t="shared" si="69"/>
        <v>46</v>
      </c>
      <c r="K420" s="15">
        <f t="shared" si="70"/>
        <v>1.6314779270633396E-2</v>
      </c>
      <c r="L420" s="16" t="str">
        <f t="shared" si="71"/>
        <v>Valid</v>
      </c>
      <c r="M420" s="16" t="str">
        <f t="shared" si="72"/>
        <v>Valid</v>
      </c>
      <c r="N420" s="17" t="str">
        <f t="shared" si="73"/>
        <v>Increasing Pressure</v>
      </c>
      <c r="O420" s="16">
        <f t="shared" si="74"/>
        <v>0.75</v>
      </c>
      <c r="P420" s="14">
        <f t="shared" si="76"/>
        <v>6266.4285714285716</v>
      </c>
      <c r="Q420" s="16">
        <f t="shared" si="75"/>
        <v>2918.4580782596145</v>
      </c>
    </row>
    <row r="421" spans="1:17" x14ac:dyDescent="0.3">
      <c r="A421" s="13">
        <v>45566</v>
      </c>
      <c r="B421" s="13" t="str">
        <f t="shared" si="66"/>
        <v>October</v>
      </c>
      <c r="C421" s="13" t="str">
        <f t="shared" si="67"/>
        <v>2024-10</v>
      </c>
      <c r="D421" s="8">
        <v>184</v>
      </c>
      <c r="E421" s="8">
        <v>314</v>
      </c>
      <c r="F421" s="8">
        <v>217</v>
      </c>
      <c r="G421" s="8">
        <v>6040</v>
      </c>
      <c r="H421" s="8">
        <v>137</v>
      </c>
      <c r="I421" s="14">
        <f t="shared" si="68"/>
        <v>6354</v>
      </c>
      <c r="J421" s="14">
        <f t="shared" si="69"/>
        <v>80</v>
      </c>
      <c r="K421" s="15">
        <f t="shared" si="70"/>
        <v>-7.5542965061378663E-3</v>
      </c>
      <c r="L421" s="16" t="str">
        <f t="shared" si="71"/>
        <v>Valid</v>
      </c>
      <c r="M421" s="16" t="str">
        <f t="shared" si="72"/>
        <v>Valid</v>
      </c>
      <c r="N421" s="17" t="str">
        <f t="shared" si="73"/>
        <v>Increasing Pressure</v>
      </c>
      <c r="O421" s="16">
        <f t="shared" si="74"/>
        <v>0.63133640552995396</v>
      </c>
      <c r="P421" s="14">
        <f t="shared" si="76"/>
        <v>6263.7142857142853</v>
      </c>
      <c r="Q421" s="16">
        <f t="shared" si="75"/>
        <v>2918.4580782596145</v>
      </c>
    </row>
    <row r="422" spans="1:17" x14ac:dyDescent="0.3">
      <c r="A422" s="13">
        <v>45567</v>
      </c>
      <c r="B422" s="13" t="str">
        <f t="shared" si="66"/>
        <v>October</v>
      </c>
      <c r="C422" s="13" t="str">
        <f t="shared" si="67"/>
        <v>2024-10</v>
      </c>
      <c r="D422" s="8">
        <v>107</v>
      </c>
      <c r="E422" s="8">
        <v>215</v>
      </c>
      <c r="F422" s="8">
        <v>230</v>
      </c>
      <c r="G422" s="8">
        <v>6091</v>
      </c>
      <c r="H422" s="8">
        <v>173</v>
      </c>
      <c r="I422" s="14">
        <f t="shared" si="68"/>
        <v>6306</v>
      </c>
      <c r="J422" s="14">
        <f t="shared" si="69"/>
        <v>57</v>
      </c>
      <c r="K422" s="15">
        <f t="shared" si="70"/>
        <v>-4.1230574056454168E-3</v>
      </c>
      <c r="L422" s="16" t="str">
        <f t="shared" si="71"/>
        <v>Invalid</v>
      </c>
      <c r="M422" s="16" t="str">
        <f t="shared" si="72"/>
        <v>Valid</v>
      </c>
      <c r="N422" s="17" t="str">
        <f t="shared" si="73"/>
        <v>Increasing Pressure</v>
      </c>
      <c r="O422" s="16">
        <f t="shared" si="74"/>
        <v>0.75217391304347825</v>
      </c>
      <c r="P422" s="14">
        <f t="shared" si="76"/>
        <v>6229.7142857142853</v>
      </c>
      <c r="Q422" s="16">
        <f t="shared" si="75"/>
        <v>2918.4580782596145</v>
      </c>
    </row>
    <row r="423" spans="1:17" x14ac:dyDescent="0.3">
      <c r="A423" s="13">
        <v>45568</v>
      </c>
      <c r="B423" s="13" t="str">
        <f t="shared" si="66"/>
        <v>October</v>
      </c>
      <c r="C423" s="13" t="str">
        <f t="shared" si="67"/>
        <v>2024-10</v>
      </c>
      <c r="D423" s="8">
        <v>101</v>
      </c>
      <c r="E423" s="8">
        <v>162</v>
      </c>
      <c r="F423" s="8">
        <v>178</v>
      </c>
      <c r="G423" s="8">
        <v>6118</v>
      </c>
      <c r="H423" s="8">
        <v>193</v>
      </c>
      <c r="I423" s="14">
        <f t="shared" si="68"/>
        <v>6280</v>
      </c>
      <c r="J423" s="14">
        <f t="shared" si="69"/>
        <v>-15</v>
      </c>
      <c r="K423" s="15">
        <f t="shared" si="70"/>
        <v>-1.9426751592356687E-2</v>
      </c>
      <c r="L423" s="16" t="str">
        <f t="shared" si="71"/>
        <v>Invalid</v>
      </c>
      <c r="M423" s="16" t="str">
        <f t="shared" si="72"/>
        <v>Valid</v>
      </c>
      <c r="N423" s="17" t="str">
        <f t="shared" si="73"/>
        <v>Stable/Reducing</v>
      </c>
      <c r="O423" s="16">
        <f t="shared" si="74"/>
        <v>1.0842696629213484</v>
      </c>
      <c r="P423" s="14">
        <f t="shared" si="76"/>
        <v>6207.2857142857147</v>
      </c>
      <c r="Q423" s="16">
        <f t="shared" si="75"/>
        <v>2918.4580782596145</v>
      </c>
    </row>
    <row r="424" spans="1:17" x14ac:dyDescent="0.3">
      <c r="A424" s="13">
        <v>45572</v>
      </c>
      <c r="B424" s="13" t="str">
        <f t="shared" si="66"/>
        <v>October</v>
      </c>
      <c r="C424" s="13" t="str">
        <f t="shared" si="67"/>
        <v>2024-10</v>
      </c>
      <c r="D424" s="8">
        <v>99</v>
      </c>
      <c r="E424" s="8">
        <v>190</v>
      </c>
      <c r="F424" s="8">
        <v>176</v>
      </c>
      <c r="G424" s="8">
        <v>5968</v>
      </c>
      <c r="H424" s="8">
        <v>153</v>
      </c>
      <c r="I424" s="14">
        <f t="shared" si="68"/>
        <v>6158</v>
      </c>
      <c r="J424" s="14">
        <f t="shared" si="69"/>
        <v>23</v>
      </c>
      <c r="K424" s="15">
        <f t="shared" si="70"/>
        <v>1.5264696329977265E-2</v>
      </c>
      <c r="L424" s="16" t="str">
        <f t="shared" si="71"/>
        <v>Valid</v>
      </c>
      <c r="M424" s="16" t="str">
        <f t="shared" si="72"/>
        <v>Valid</v>
      </c>
      <c r="N424" s="17" t="str">
        <f t="shared" si="73"/>
        <v>Increasing Pressure</v>
      </c>
      <c r="O424" s="16">
        <f t="shared" si="74"/>
        <v>0.86931818181818177</v>
      </c>
      <c r="P424" s="14">
        <f t="shared" si="76"/>
        <v>6198.8571428571431</v>
      </c>
      <c r="Q424" s="16">
        <f t="shared" si="75"/>
        <v>2918.4580782596145</v>
      </c>
    </row>
    <row r="425" spans="1:17" x14ac:dyDescent="0.3">
      <c r="A425" s="13">
        <v>45573</v>
      </c>
      <c r="B425" s="13" t="str">
        <f t="shared" si="66"/>
        <v>October</v>
      </c>
      <c r="C425" s="13" t="str">
        <f t="shared" si="67"/>
        <v>2024-10</v>
      </c>
      <c r="D425" s="8">
        <v>167</v>
      </c>
      <c r="E425" s="8">
        <v>239</v>
      </c>
      <c r="F425" s="8">
        <v>166</v>
      </c>
      <c r="G425" s="8">
        <v>6013</v>
      </c>
      <c r="H425" s="8">
        <v>123</v>
      </c>
      <c r="I425" s="14">
        <f t="shared" si="68"/>
        <v>6252</v>
      </c>
      <c r="J425" s="14">
        <f t="shared" si="69"/>
        <v>43</v>
      </c>
      <c r="K425" s="15">
        <f t="shared" si="70"/>
        <v>1.7594369801663468E-3</v>
      </c>
      <c r="L425" s="16" t="str">
        <f t="shared" si="71"/>
        <v>Valid</v>
      </c>
      <c r="M425" s="16" t="str">
        <f t="shared" si="72"/>
        <v>Valid</v>
      </c>
      <c r="N425" s="17" t="str">
        <f t="shared" si="73"/>
        <v>Increasing Pressure</v>
      </c>
      <c r="O425" s="16">
        <f t="shared" si="74"/>
        <v>0.74096385542168675</v>
      </c>
      <c r="P425" s="14">
        <f t="shared" si="76"/>
        <v>6222.1428571428569</v>
      </c>
      <c r="Q425" s="16">
        <f t="shared" si="75"/>
        <v>2918.4580782596145</v>
      </c>
    </row>
    <row r="426" spans="1:17" x14ac:dyDescent="0.3">
      <c r="A426" s="13">
        <v>45574</v>
      </c>
      <c r="B426" s="13" t="str">
        <f t="shared" si="66"/>
        <v>October</v>
      </c>
      <c r="C426" s="13" t="str">
        <f t="shared" si="67"/>
        <v>2024-10</v>
      </c>
      <c r="D426" s="8">
        <v>115</v>
      </c>
      <c r="E426" s="8">
        <v>216</v>
      </c>
      <c r="F426" s="8">
        <v>169</v>
      </c>
      <c r="G426" s="8">
        <v>6047</v>
      </c>
      <c r="H426" s="8">
        <v>137</v>
      </c>
      <c r="I426" s="14">
        <f t="shared" si="68"/>
        <v>6263</v>
      </c>
      <c r="J426" s="14">
        <f t="shared" si="69"/>
        <v>32</v>
      </c>
      <c r="K426" s="15">
        <f t="shared" si="70"/>
        <v>-4.7900367236148808E-3</v>
      </c>
      <c r="L426" s="16" t="str">
        <f t="shared" si="71"/>
        <v>Valid</v>
      </c>
      <c r="M426" s="16" t="str">
        <f t="shared" si="72"/>
        <v>Valid</v>
      </c>
      <c r="N426" s="17" t="str">
        <f t="shared" si="73"/>
        <v>Increasing Pressure</v>
      </c>
      <c r="O426" s="16">
        <f t="shared" si="74"/>
        <v>0.81065088757396453</v>
      </c>
      <c r="P426" s="14">
        <f t="shared" si="76"/>
        <v>6229.8571428571431</v>
      </c>
      <c r="Q426" s="16">
        <f t="shared" si="75"/>
        <v>2918.4580782596145</v>
      </c>
    </row>
    <row r="427" spans="1:17" x14ac:dyDescent="0.3">
      <c r="A427" s="13">
        <v>45575</v>
      </c>
      <c r="B427" s="13" t="str">
        <f t="shared" si="66"/>
        <v>October</v>
      </c>
      <c r="C427" s="13" t="str">
        <f t="shared" si="67"/>
        <v>2024-10</v>
      </c>
      <c r="D427" s="8">
        <v>84</v>
      </c>
      <c r="E427" s="8">
        <v>158</v>
      </c>
      <c r="F427" s="8">
        <v>193</v>
      </c>
      <c r="G427" s="8">
        <v>6075</v>
      </c>
      <c r="H427" s="8">
        <v>159</v>
      </c>
      <c r="I427" s="14">
        <f t="shared" si="68"/>
        <v>6233</v>
      </c>
      <c r="J427" s="14">
        <f t="shared" si="69"/>
        <v>34</v>
      </c>
      <c r="K427" s="15">
        <f t="shared" si="70"/>
        <v>-1.8771057275790148E-2</v>
      </c>
      <c r="L427" s="16" t="str">
        <f t="shared" si="71"/>
        <v>Invalid</v>
      </c>
      <c r="M427" s="16" t="str">
        <f t="shared" si="72"/>
        <v>Valid</v>
      </c>
      <c r="N427" s="17" t="str">
        <f t="shared" si="73"/>
        <v>Increasing Pressure</v>
      </c>
      <c r="O427" s="16">
        <f t="shared" si="74"/>
        <v>0.82383419689119175</v>
      </c>
      <c r="P427" s="14">
        <f t="shared" si="76"/>
        <v>6220</v>
      </c>
      <c r="Q427" s="16">
        <f t="shared" si="75"/>
        <v>2918.4580782596145</v>
      </c>
    </row>
    <row r="428" spans="1:17" x14ac:dyDescent="0.3">
      <c r="A428" s="13">
        <v>45578</v>
      </c>
      <c r="B428" s="13" t="str">
        <f t="shared" si="66"/>
        <v>October</v>
      </c>
      <c r="C428" s="13" t="str">
        <f t="shared" si="67"/>
        <v>2024-10</v>
      </c>
      <c r="D428" s="8">
        <v>130</v>
      </c>
      <c r="E428" s="8">
        <v>227</v>
      </c>
      <c r="F428" s="8">
        <v>192</v>
      </c>
      <c r="G428" s="8">
        <v>5889</v>
      </c>
      <c r="H428" s="8">
        <v>210</v>
      </c>
      <c r="I428" s="14">
        <f t="shared" si="68"/>
        <v>6116</v>
      </c>
      <c r="J428" s="14">
        <f t="shared" si="69"/>
        <v>-18</v>
      </c>
      <c r="K428" s="15">
        <f t="shared" si="70"/>
        <v>5.3956834532374104E-3</v>
      </c>
      <c r="L428" s="16" t="str">
        <f t="shared" si="71"/>
        <v>Valid</v>
      </c>
      <c r="M428" s="16" t="str">
        <f t="shared" si="72"/>
        <v>Valid</v>
      </c>
      <c r="N428" s="17" t="str">
        <f t="shared" si="73"/>
        <v>Stable/Reducing</v>
      </c>
      <c r="O428" s="16">
        <f t="shared" si="74"/>
        <v>1.09375</v>
      </c>
      <c r="P428" s="14">
        <f t="shared" si="76"/>
        <v>6213.2857142857147</v>
      </c>
      <c r="Q428" s="16">
        <f t="shared" si="75"/>
        <v>2918.4580782596145</v>
      </c>
    </row>
    <row r="429" spans="1:17" x14ac:dyDescent="0.3">
      <c r="A429" s="13">
        <v>45579</v>
      </c>
      <c r="B429" s="13" t="str">
        <f t="shared" si="66"/>
        <v>October</v>
      </c>
      <c r="C429" s="13" t="str">
        <f t="shared" si="67"/>
        <v>2024-10</v>
      </c>
      <c r="D429" s="8">
        <v>88</v>
      </c>
      <c r="E429" s="8">
        <v>214</v>
      </c>
      <c r="F429" s="8">
        <v>160</v>
      </c>
      <c r="G429" s="8">
        <v>5935</v>
      </c>
      <c r="H429" s="8">
        <v>106</v>
      </c>
      <c r="I429" s="14">
        <f t="shared" si="68"/>
        <v>6149</v>
      </c>
      <c r="J429" s="14">
        <f t="shared" si="69"/>
        <v>54</v>
      </c>
      <c r="K429" s="15">
        <f t="shared" si="70"/>
        <v>1.1709221011546592E-2</v>
      </c>
      <c r="L429" s="16" t="str">
        <f t="shared" si="71"/>
        <v>Valid</v>
      </c>
      <c r="M429" s="16" t="str">
        <f t="shared" si="72"/>
        <v>Valid</v>
      </c>
      <c r="N429" s="17" t="str">
        <f t="shared" si="73"/>
        <v>Increasing Pressure</v>
      </c>
      <c r="O429" s="16">
        <f t="shared" si="74"/>
        <v>0.66249999999999998</v>
      </c>
      <c r="P429" s="14">
        <f t="shared" si="76"/>
        <v>6242.8571428571431</v>
      </c>
      <c r="Q429" s="16">
        <f t="shared" si="75"/>
        <v>2918.4580782596145</v>
      </c>
    </row>
    <row r="430" spans="1:17" x14ac:dyDescent="0.3">
      <c r="A430" s="13">
        <v>45580</v>
      </c>
      <c r="B430" s="13" t="str">
        <f t="shared" si="66"/>
        <v>October</v>
      </c>
      <c r="C430" s="13" t="str">
        <f t="shared" si="67"/>
        <v>2024-10</v>
      </c>
      <c r="D430" s="8">
        <v>113</v>
      </c>
      <c r="E430" s="8">
        <v>208</v>
      </c>
      <c r="F430" s="8">
        <v>159</v>
      </c>
      <c r="G430" s="8">
        <v>6013</v>
      </c>
      <c r="H430" s="8">
        <v>107</v>
      </c>
      <c r="I430" s="14">
        <f t="shared" si="68"/>
        <v>6221</v>
      </c>
      <c r="J430" s="14">
        <f t="shared" si="69"/>
        <v>52</v>
      </c>
      <c r="K430" s="15">
        <f t="shared" si="70"/>
        <v>1.6074586079408454E-2</v>
      </c>
      <c r="L430" s="16" t="str">
        <f t="shared" si="71"/>
        <v>Valid</v>
      </c>
      <c r="M430" s="16" t="str">
        <f t="shared" si="72"/>
        <v>Valid</v>
      </c>
      <c r="N430" s="17" t="str">
        <f t="shared" si="73"/>
        <v>Increasing Pressure</v>
      </c>
      <c r="O430" s="16">
        <f t="shared" si="74"/>
        <v>0.67295597484276726</v>
      </c>
      <c r="P430" s="14">
        <f t="shared" si="76"/>
        <v>6274.5714285714284</v>
      </c>
      <c r="Q430" s="16">
        <f t="shared" si="75"/>
        <v>2918.4580782596145</v>
      </c>
    </row>
    <row r="431" spans="1:17" x14ac:dyDescent="0.3">
      <c r="A431" s="13">
        <v>45581</v>
      </c>
      <c r="B431" s="13" t="str">
        <f t="shared" si="66"/>
        <v>October</v>
      </c>
      <c r="C431" s="13" t="str">
        <f t="shared" si="67"/>
        <v>2024-10</v>
      </c>
      <c r="D431" s="8">
        <v>174</v>
      </c>
      <c r="E431" s="8">
        <v>285</v>
      </c>
      <c r="F431" s="8">
        <v>150</v>
      </c>
      <c r="G431" s="8">
        <v>6036</v>
      </c>
      <c r="H431" s="8">
        <v>129</v>
      </c>
      <c r="I431" s="14">
        <f t="shared" si="68"/>
        <v>6321</v>
      </c>
      <c r="J431" s="14">
        <f t="shared" si="69"/>
        <v>21</v>
      </c>
      <c r="K431" s="15">
        <f t="shared" si="70"/>
        <v>-2.3730422401518746E-3</v>
      </c>
      <c r="L431" s="16" t="str">
        <f t="shared" si="71"/>
        <v>Valid</v>
      </c>
      <c r="M431" s="16" t="str">
        <f t="shared" si="72"/>
        <v>Valid</v>
      </c>
      <c r="N431" s="17" t="str">
        <f t="shared" si="73"/>
        <v>Increasing Pressure</v>
      </c>
      <c r="O431" s="16">
        <f t="shared" si="74"/>
        <v>0.86</v>
      </c>
      <c r="P431" s="14">
        <f t="shared" si="76"/>
        <v>6284</v>
      </c>
      <c r="Q431" s="16">
        <f t="shared" si="75"/>
        <v>2918.4580782596145</v>
      </c>
    </row>
    <row r="432" spans="1:17" x14ac:dyDescent="0.3">
      <c r="A432" s="13">
        <v>45582</v>
      </c>
      <c r="B432" s="13" t="str">
        <f t="shared" si="66"/>
        <v>October</v>
      </c>
      <c r="C432" s="13" t="str">
        <f t="shared" si="67"/>
        <v>2024-10</v>
      </c>
      <c r="D432" s="8">
        <v>104</v>
      </c>
      <c r="E432" s="8">
        <v>230</v>
      </c>
      <c r="F432" s="8">
        <v>206</v>
      </c>
      <c r="G432" s="8">
        <v>6076</v>
      </c>
      <c r="H432" s="8">
        <v>160</v>
      </c>
      <c r="I432" s="14">
        <f t="shared" si="68"/>
        <v>6306</v>
      </c>
      <c r="J432" s="14">
        <f t="shared" si="69"/>
        <v>46</v>
      </c>
      <c r="K432" s="15">
        <f t="shared" si="70"/>
        <v>-1.7760862670472565E-2</v>
      </c>
      <c r="L432" s="16" t="str">
        <f t="shared" si="71"/>
        <v>Valid</v>
      </c>
      <c r="M432" s="16" t="str">
        <f t="shared" si="72"/>
        <v>Valid</v>
      </c>
      <c r="N432" s="17" t="str">
        <f t="shared" si="73"/>
        <v>Increasing Pressure</v>
      </c>
      <c r="O432" s="16">
        <f t="shared" si="74"/>
        <v>0.77669902912621358</v>
      </c>
      <c r="P432" s="14">
        <f t="shared" si="76"/>
        <v>6278.1428571428569</v>
      </c>
      <c r="Q432" s="16">
        <f t="shared" si="75"/>
        <v>2918.4580782596145</v>
      </c>
    </row>
    <row r="433" spans="1:17" x14ac:dyDescent="0.3">
      <c r="A433" s="13">
        <v>45585</v>
      </c>
      <c r="B433" s="13" t="str">
        <f t="shared" si="66"/>
        <v>October</v>
      </c>
      <c r="C433" s="13" t="str">
        <f t="shared" si="67"/>
        <v>2024-10</v>
      </c>
      <c r="D433" s="8">
        <v>147</v>
      </c>
      <c r="E433" s="8">
        <v>276</v>
      </c>
      <c r="F433" s="8">
        <v>214</v>
      </c>
      <c r="G433" s="8">
        <v>5918</v>
      </c>
      <c r="H433" s="8">
        <v>195</v>
      </c>
      <c r="I433" s="14">
        <f t="shared" si="68"/>
        <v>6194</v>
      </c>
      <c r="J433" s="14">
        <f t="shared" si="69"/>
        <v>19</v>
      </c>
      <c r="K433" s="15">
        <f t="shared" si="70"/>
        <v>-1.2915724895059735E-3</v>
      </c>
      <c r="L433" s="16" t="str">
        <f t="shared" si="71"/>
        <v>Valid</v>
      </c>
      <c r="M433" s="16" t="str">
        <f t="shared" si="72"/>
        <v>Valid</v>
      </c>
      <c r="N433" s="17" t="str">
        <f t="shared" si="73"/>
        <v>Increasing Pressure</v>
      </c>
      <c r="O433" s="16">
        <f t="shared" si="74"/>
        <v>0.91121495327102808</v>
      </c>
      <c r="P433" s="14">
        <f t="shared" si="76"/>
        <v>6289.1428571428569</v>
      </c>
      <c r="Q433" s="16">
        <f t="shared" si="75"/>
        <v>2918.4580782596145</v>
      </c>
    </row>
    <row r="434" spans="1:17" x14ac:dyDescent="0.3">
      <c r="A434" s="13">
        <v>45586</v>
      </c>
      <c r="B434" s="13" t="str">
        <f t="shared" si="66"/>
        <v>October</v>
      </c>
      <c r="C434" s="13" t="str">
        <f t="shared" si="67"/>
        <v>2024-10</v>
      </c>
      <c r="D434" s="8">
        <v>108</v>
      </c>
      <c r="E434" s="8">
        <v>220</v>
      </c>
      <c r="F434" s="8">
        <v>213</v>
      </c>
      <c r="G434" s="8">
        <v>5966</v>
      </c>
      <c r="H434" s="8">
        <v>154</v>
      </c>
      <c r="I434" s="14">
        <f t="shared" si="68"/>
        <v>6186</v>
      </c>
      <c r="J434" s="14">
        <f t="shared" si="69"/>
        <v>59</v>
      </c>
      <c r="K434" s="15">
        <f t="shared" si="70"/>
        <v>2.2146783058519238E-2</v>
      </c>
      <c r="L434" s="16" t="str">
        <f t="shared" si="71"/>
        <v>Valid</v>
      </c>
      <c r="M434" s="16" t="str">
        <f t="shared" si="72"/>
        <v>Valid</v>
      </c>
      <c r="N434" s="17" t="str">
        <f t="shared" si="73"/>
        <v>Increasing Pressure</v>
      </c>
      <c r="O434" s="16">
        <f t="shared" si="74"/>
        <v>0.72300469483568075</v>
      </c>
      <c r="P434" s="14">
        <f t="shared" si="76"/>
        <v>6322.1428571428569</v>
      </c>
      <c r="Q434" s="16">
        <f t="shared" si="75"/>
        <v>2918.4580782596145</v>
      </c>
    </row>
    <row r="435" spans="1:17" x14ac:dyDescent="0.3">
      <c r="A435" s="13">
        <v>45587</v>
      </c>
      <c r="B435" s="13" t="str">
        <f t="shared" si="66"/>
        <v>October</v>
      </c>
      <c r="C435" s="13" t="str">
        <f t="shared" si="67"/>
        <v>2024-10</v>
      </c>
      <c r="D435" s="8">
        <v>180</v>
      </c>
      <c r="E435" s="8">
        <v>280</v>
      </c>
      <c r="F435" s="8">
        <v>146</v>
      </c>
      <c r="G435" s="8">
        <v>6043</v>
      </c>
      <c r="H435" s="8">
        <v>109</v>
      </c>
      <c r="I435" s="14">
        <f t="shared" si="68"/>
        <v>6323</v>
      </c>
      <c r="J435" s="14">
        <f t="shared" si="69"/>
        <v>37</v>
      </c>
      <c r="K435" s="15">
        <f t="shared" si="70"/>
        <v>7.5913332278981496E-3</v>
      </c>
      <c r="L435" s="16" t="str">
        <f t="shared" si="71"/>
        <v>Valid</v>
      </c>
      <c r="M435" s="16" t="str">
        <f t="shared" si="72"/>
        <v>Valid</v>
      </c>
      <c r="N435" s="17" t="str">
        <f t="shared" si="73"/>
        <v>Increasing Pressure</v>
      </c>
      <c r="O435" s="16">
        <f t="shared" si="74"/>
        <v>0.74657534246575341</v>
      </c>
      <c r="P435" s="14">
        <f t="shared" si="76"/>
        <v>6351.8571428571431</v>
      </c>
      <c r="Q435" s="16">
        <f t="shared" si="75"/>
        <v>2918.4580782596145</v>
      </c>
    </row>
    <row r="436" spans="1:17" x14ac:dyDescent="0.3">
      <c r="A436" s="13">
        <v>45588</v>
      </c>
      <c r="B436" s="13" t="str">
        <f t="shared" si="66"/>
        <v>October</v>
      </c>
      <c r="C436" s="13" t="str">
        <f t="shared" si="67"/>
        <v>2024-10</v>
      </c>
      <c r="D436" s="8">
        <v>134</v>
      </c>
      <c r="E436" s="8">
        <v>294</v>
      </c>
      <c r="F436" s="8">
        <v>186</v>
      </c>
      <c r="G436" s="8">
        <v>6077</v>
      </c>
      <c r="H436" s="8">
        <v>138</v>
      </c>
      <c r="I436" s="14">
        <f t="shared" si="68"/>
        <v>6371</v>
      </c>
      <c r="J436" s="14">
        <f t="shared" si="69"/>
        <v>48</v>
      </c>
      <c r="K436" s="15">
        <f t="shared" si="70"/>
        <v>-1.3184743368388008E-2</v>
      </c>
      <c r="L436" s="16" t="str">
        <f t="shared" si="71"/>
        <v>Valid</v>
      </c>
      <c r="M436" s="16" t="str">
        <f t="shared" si="72"/>
        <v>Valid</v>
      </c>
      <c r="N436" s="17" t="str">
        <f t="shared" si="73"/>
        <v>Increasing Pressure</v>
      </c>
      <c r="O436" s="16">
        <f t="shared" si="74"/>
        <v>0.74193548387096775</v>
      </c>
      <c r="P436" s="14">
        <f t="shared" si="76"/>
        <v>6328.7142857142853</v>
      </c>
      <c r="Q436" s="16">
        <f t="shared" si="75"/>
        <v>2918.4580782596145</v>
      </c>
    </row>
    <row r="437" spans="1:17" x14ac:dyDescent="0.3">
      <c r="A437" s="13">
        <v>45592</v>
      </c>
      <c r="B437" s="13" t="str">
        <f t="shared" si="66"/>
        <v>October</v>
      </c>
      <c r="C437" s="13" t="str">
        <f t="shared" si="67"/>
        <v>2024-10</v>
      </c>
      <c r="D437" s="8">
        <v>202</v>
      </c>
      <c r="E437" s="8">
        <v>313</v>
      </c>
      <c r="F437" s="8">
        <v>158</v>
      </c>
      <c r="G437" s="8">
        <v>5974</v>
      </c>
      <c r="H437" s="8">
        <v>192</v>
      </c>
      <c r="I437" s="14">
        <f t="shared" si="68"/>
        <v>6287</v>
      </c>
      <c r="J437" s="14">
        <f t="shared" si="69"/>
        <v>-34</v>
      </c>
      <c r="K437" s="15">
        <f t="shared" si="70"/>
        <v>-1.1134086209638938E-3</v>
      </c>
      <c r="L437" s="16" t="str">
        <f t="shared" si="71"/>
        <v>Valid</v>
      </c>
      <c r="M437" s="16" t="str">
        <f t="shared" si="72"/>
        <v>Valid</v>
      </c>
      <c r="N437" s="17" t="str">
        <f t="shared" si="73"/>
        <v>Stable/Reducing</v>
      </c>
      <c r="O437" s="16">
        <f t="shared" si="74"/>
        <v>1.2151898734177216</v>
      </c>
      <c r="P437" s="14">
        <f t="shared" si="76"/>
        <v>6306.5714285714284</v>
      </c>
      <c r="Q437" s="16">
        <f t="shared" si="75"/>
        <v>2918.4580782596145</v>
      </c>
    </row>
    <row r="438" spans="1:17" x14ac:dyDescent="0.3">
      <c r="A438" s="13">
        <v>45593</v>
      </c>
      <c r="B438" s="13" t="str">
        <f t="shared" si="66"/>
        <v>October</v>
      </c>
      <c r="C438" s="13" t="str">
        <f t="shared" si="67"/>
        <v>2024-10</v>
      </c>
      <c r="D438" s="8">
        <v>110</v>
      </c>
      <c r="E438" s="8">
        <v>272</v>
      </c>
      <c r="F438" s="8">
        <v>193</v>
      </c>
      <c r="G438" s="8">
        <v>6008</v>
      </c>
      <c r="H438" s="8">
        <v>156</v>
      </c>
      <c r="I438" s="14">
        <f t="shared" si="68"/>
        <v>6280</v>
      </c>
      <c r="J438" s="14">
        <f t="shared" si="69"/>
        <v>37</v>
      </c>
      <c r="K438" s="15">
        <f t="shared" si="70"/>
        <v>1.6401273885350318E-2</v>
      </c>
      <c r="L438" s="16" t="str">
        <f t="shared" si="71"/>
        <v>Valid</v>
      </c>
      <c r="M438" s="16" t="str">
        <f t="shared" si="72"/>
        <v>Valid</v>
      </c>
      <c r="N438" s="17" t="str">
        <f t="shared" si="73"/>
        <v>Increasing Pressure</v>
      </c>
      <c r="O438" s="16">
        <f t="shared" si="74"/>
        <v>0.80829015544041449</v>
      </c>
      <c r="P438" s="14">
        <f t="shared" si="76"/>
        <v>6307</v>
      </c>
      <c r="Q438" s="16">
        <f t="shared" si="75"/>
        <v>2918.4580782596145</v>
      </c>
    </row>
    <row r="439" spans="1:17" x14ac:dyDescent="0.3">
      <c r="A439" s="13">
        <v>45594</v>
      </c>
      <c r="B439" s="13" t="str">
        <f t="shared" si="66"/>
        <v>October</v>
      </c>
      <c r="C439" s="13" t="str">
        <f t="shared" si="67"/>
        <v>2024-10</v>
      </c>
      <c r="D439" s="8">
        <v>166</v>
      </c>
      <c r="E439" s="8">
        <v>277</v>
      </c>
      <c r="F439" s="8">
        <v>229</v>
      </c>
      <c r="G439" s="8">
        <v>6106</v>
      </c>
      <c r="H439" s="8">
        <v>126</v>
      </c>
      <c r="I439" s="14">
        <f t="shared" si="68"/>
        <v>6383</v>
      </c>
      <c r="J439" s="14">
        <f t="shared" si="69"/>
        <v>103</v>
      </c>
      <c r="K439" s="15">
        <f t="shared" si="70"/>
        <v>6.5799780667397771E-3</v>
      </c>
      <c r="L439" s="16" t="str">
        <f t="shared" si="71"/>
        <v>Valid</v>
      </c>
      <c r="M439" s="16" t="str">
        <f t="shared" si="72"/>
        <v>Valid</v>
      </c>
      <c r="N439" s="17" t="str">
        <f t="shared" si="73"/>
        <v>Increasing Pressure</v>
      </c>
      <c r="O439" s="16">
        <f t="shared" si="74"/>
        <v>0.55021834061135366</v>
      </c>
      <c r="P439" s="14">
        <f t="shared" si="76"/>
        <v>6315.8571428571431</v>
      </c>
      <c r="Q439" s="16">
        <f t="shared" si="75"/>
        <v>2918.4580782596145</v>
      </c>
    </row>
    <row r="440" spans="1:17" x14ac:dyDescent="0.3">
      <c r="A440" s="13">
        <v>45595</v>
      </c>
      <c r="B440" s="13" t="str">
        <f t="shared" si="66"/>
        <v>October</v>
      </c>
      <c r="C440" s="13" t="str">
        <f t="shared" si="67"/>
        <v>2024-10</v>
      </c>
      <c r="D440" s="8">
        <v>136</v>
      </c>
      <c r="E440" s="8">
        <v>276</v>
      </c>
      <c r="F440" s="8">
        <v>178</v>
      </c>
      <c r="G440" s="8">
        <v>6149</v>
      </c>
      <c r="H440" s="8">
        <v>160</v>
      </c>
      <c r="I440" s="14">
        <f t="shared" si="68"/>
        <v>6425</v>
      </c>
      <c r="J440" s="14">
        <f t="shared" si="69"/>
        <v>18</v>
      </c>
      <c r="K440" s="15">
        <f t="shared" si="70"/>
        <v>-4.8249027237354082E-3</v>
      </c>
      <c r="L440" s="16" t="str">
        <f t="shared" si="71"/>
        <v>Valid</v>
      </c>
      <c r="M440" s="16" t="str">
        <f t="shared" si="72"/>
        <v>Valid</v>
      </c>
      <c r="N440" s="17" t="str">
        <f t="shared" si="73"/>
        <v>Increasing Pressure</v>
      </c>
      <c r="O440" s="16">
        <f t="shared" si="74"/>
        <v>0.898876404494382</v>
      </c>
      <c r="P440" s="14">
        <f t="shared" si="76"/>
        <v>6306.2857142857147</v>
      </c>
      <c r="Q440" s="16">
        <f t="shared" si="75"/>
        <v>2918.4580782596145</v>
      </c>
    </row>
    <row r="441" spans="1:17" x14ac:dyDescent="0.3">
      <c r="A441" s="13">
        <v>45596</v>
      </c>
      <c r="B441" s="13" t="str">
        <f t="shared" si="66"/>
        <v>October</v>
      </c>
      <c r="C441" s="13" t="str">
        <f t="shared" si="67"/>
        <v>2024-10</v>
      </c>
      <c r="D441" s="8">
        <v>87</v>
      </c>
      <c r="E441" s="8">
        <v>246</v>
      </c>
      <c r="F441" s="8">
        <v>173</v>
      </c>
      <c r="G441" s="8">
        <v>6148</v>
      </c>
      <c r="H441" s="8">
        <v>177</v>
      </c>
      <c r="I441" s="14">
        <f t="shared" si="68"/>
        <v>6394</v>
      </c>
      <c r="J441" s="14">
        <f t="shared" si="69"/>
        <v>-4</v>
      </c>
      <c r="K441" s="15">
        <f t="shared" si="70"/>
        <v>-3.6440412887081636E-2</v>
      </c>
      <c r="L441" s="16" t="str">
        <f t="shared" si="71"/>
        <v>Valid</v>
      </c>
      <c r="M441" s="16" t="str">
        <f t="shared" si="72"/>
        <v>Valid</v>
      </c>
      <c r="N441" s="17" t="str">
        <f t="shared" si="73"/>
        <v>Stable/Reducing</v>
      </c>
      <c r="O441" s="16">
        <f t="shared" si="74"/>
        <v>1.023121387283237</v>
      </c>
      <c r="P441" s="14">
        <f t="shared" si="76"/>
        <v>6260.1428571428569</v>
      </c>
      <c r="Q441" s="16">
        <f t="shared" si="75"/>
        <v>2918.4580782596145</v>
      </c>
    </row>
    <row r="442" spans="1:17" x14ac:dyDescent="0.3">
      <c r="A442" s="13">
        <v>45599</v>
      </c>
      <c r="B442" s="13" t="str">
        <f t="shared" si="66"/>
        <v>November</v>
      </c>
      <c r="C442" s="13" t="str">
        <f t="shared" si="67"/>
        <v>2024-11</v>
      </c>
      <c r="D442" s="8">
        <v>84</v>
      </c>
      <c r="E442" s="8">
        <v>171</v>
      </c>
      <c r="F442" s="8">
        <v>157</v>
      </c>
      <c r="G442" s="8">
        <v>5990</v>
      </c>
      <c r="H442" s="8">
        <v>184</v>
      </c>
      <c r="I442" s="14">
        <f t="shared" si="68"/>
        <v>6161</v>
      </c>
      <c r="J442" s="14">
        <f t="shared" si="69"/>
        <v>-27</v>
      </c>
      <c r="K442" s="15">
        <f t="shared" si="70"/>
        <v>8.927122220418764E-3</v>
      </c>
      <c r="L442" s="16" t="str">
        <f t="shared" si="71"/>
        <v>Valid</v>
      </c>
      <c r="M442" s="16" t="str">
        <f t="shared" si="72"/>
        <v>Valid</v>
      </c>
      <c r="N442" s="17" t="str">
        <f t="shared" si="73"/>
        <v>Stable/Reducing</v>
      </c>
      <c r="O442" s="16">
        <f t="shared" si="74"/>
        <v>1.1719745222929936</v>
      </c>
      <c r="P442" s="14">
        <f t="shared" si="76"/>
        <v>6233.8571428571431</v>
      </c>
      <c r="Q442" s="16">
        <f t="shared" si="75"/>
        <v>2918.4580782596145</v>
      </c>
    </row>
    <row r="443" spans="1:17" x14ac:dyDescent="0.3">
      <c r="A443" s="13">
        <v>45600</v>
      </c>
      <c r="B443" s="13" t="str">
        <f t="shared" si="66"/>
        <v>November</v>
      </c>
      <c r="C443" s="13" t="str">
        <f t="shared" si="67"/>
        <v>2024-11</v>
      </c>
      <c r="D443" s="8">
        <v>167</v>
      </c>
      <c r="E443" s="8">
        <v>209</v>
      </c>
      <c r="F443" s="8">
        <v>157</v>
      </c>
      <c r="G443" s="8">
        <v>6007</v>
      </c>
      <c r="H443" s="8">
        <v>132</v>
      </c>
      <c r="I443" s="14">
        <f t="shared" si="68"/>
        <v>6216</v>
      </c>
      <c r="J443" s="14">
        <f t="shared" si="69"/>
        <v>25</v>
      </c>
      <c r="K443" s="15">
        <f t="shared" si="70"/>
        <v>1.1904761904761904E-2</v>
      </c>
      <c r="L443" s="16" t="str">
        <f t="shared" si="71"/>
        <v>Valid</v>
      </c>
      <c r="M443" s="16" t="str">
        <f t="shared" si="72"/>
        <v>Valid</v>
      </c>
      <c r="N443" s="17" t="str">
        <f t="shared" si="73"/>
        <v>Increasing Pressure</v>
      </c>
      <c r="O443" s="16">
        <f t="shared" si="74"/>
        <v>0.84076433121019112</v>
      </c>
      <c r="P443" s="14">
        <f t="shared" si="76"/>
        <v>6241</v>
      </c>
      <c r="Q443" s="16">
        <f t="shared" si="75"/>
        <v>2918.4580782596145</v>
      </c>
    </row>
    <row r="444" spans="1:17" x14ac:dyDescent="0.3">
      <c r="A444" s="13">
        <v>45601</v>
      </c>
      <c r="B444" s="13" t="str">
        <f t="shared" si="66"/>
        <v>November</v>
      </c>
      <c r="C444" s="13" t="str">
        <f t="shared" si="67"/>
        <v>2024-11</v>
      </c>
      <c r="D444" s="8">
        <v>109</v>
      </c>
      <c r="E444" s="8">
        <v>245</v>
      </c>
      <c r="F444" s="8">
        <v>159</v>
      </c>
      <c r="G444" s="8">
        <v>6045</v>
      </c>
      <c r="H444" s="8">
        <v>126</v>
      </c>
      <c r="I444" s="14">
        <f t="shared" si="68"/>
        <v>6290</v>
      </c>
      <c r="J444" s="14">
        <f t="shared" si="69"/>
        <v>33</v>
      </c>
      <c r="K444" s="15">
        <f t="shared" si="70"/>
        <v>8.2670906200317962E-3</v>
      </c>
      <c r="L444" s="16" t="str">
        <f t="shared" si="71"/>
        <v>Valid</v>
      </c>
      <c r="M444" s="16" t="str">
        <f t="shared" si="72"/>
        <v>Valid</v>
      </c>
      <c r="N444" s="17" t="str">
        <f t="shared" si="73"/>
        <v>Increasing Pressure</v>
      </c>
      <c r="O444" s="16">
        <f t="shared" si="74"/>
        <v>0.79245283018867929</v>
      </c>
      <c r="P444" s="14">
        <f t="shared" si="76"/>
        <v>6245</v>
      </c>
      <c r="Q444" s="16">
        <f t="shared" si="75"/>
        <v>2918.4580782596145</v>
      </c>
    </row>
    <row r="445" spans="1:17" x14ac:dyDescent="0.3">
      <c r="A445" s="13">
        <v>45602</v>
      </c>
      <c r="B445" s="13" t="str">
        <f t="shared" si="66"/>
        <v>November</v>
      </c>
      <c r="C445" s="13" t="str">
        <f t="shared" si="67"/>
        <v>2024-11</v>
      </c>
      <c r="D445" s="8">
        <v>156</v>
      </c>
      <c r="E445" s="8">
        <v>256</v>
      </c>
      <c r="F445" s="8">
        <v>176</v>
      </c>
      <c r="G445" s="8">
        <v>6086</v>
      </c>
      <c r="H445" s="8">
        <v>137</v>
      </c>
      <c r="I445" s="14">
        <f t="shared" si="68"/>
        <v>6342</v>
      </c>
      <c r="J445" s="14">
        <f t="shared" si="69"/>
        <v>39</v>
      </c>
      <c r="K445" s="15">
        <f t="shared" si="70"/>
        <v>-4.0996531062756228E-3</v>
      </c>
      <c r="L445" s="16" t="str">
        <f t="shared" si="71"/>
        <v>Valid</v>
      </c>
      <c r="M445" s="16" t="str">
        <f t="shared" si="72"/>
        <v>Valid</v>
      </c>
      <c r="N445" s="17" t="str">
        <f t="shared" si="73"/>
        <v>Increasing Pressure</v>
      </c>
      <c r="O445" s="16">
        <f t="shared" si="74"/>
        <v>0.77840909090909094</v>
      </c>
      <c r="P445" s="14">
        <f t="shared" si="76"/>
        <v>6207.2857142857147</v>
      </c>
      <c r="Q445" s="16">
        <f t="shared" si="75"/>
        <v>2918.4580782596145</v>
      </c>
    </row>
    <row r="446" spans="1:17" x14ac:dyDescent="0.3">
      <c r="A446" s="13">
        <v>45603</v>
      </c>
      <c r="B446" s="13" t="str">
        <f t="shared" si="66"/>
        <v>November</v>
      </c>
      <c r="C446" s="13" t="str">
        <f t="shared" si="67"/>
        <v>2024-11</v>
      </c>
      <c r="D446" s="8">
        <v>125</v>
      </c>
      <c r="E446" s="8">
        <v>232</v>
      </c>
      <c r="F446" s="8">
        <v>192</v>
      </c>
      <c r="G446" s="8">
        <v>6084</v>
      </c>
      <c r="H446" s="8">
        <v>177</v>
      </c>
      <c r="I446" s="14">
        <f t="shared" si="68"/>
        <v>6316</v>
      </c>
      <c r="J446" s="14">
        <f t="shared" si="69"/>
        <v>15</v>
      </c>
      <c r="K446" s="15">
        <f t="shared" si="70"/>
        <v>-3.3882203926535785E-2</v>
      </c>
      <c r="L446" s="16" t="str">
        <f t="shared" si="71"/>
        <v>Valid</v>
      </c>
      <c r="M446" s="16" t="str">
        <f t="shared" si="72"/>
        <v>Valid</v>
      </c>
      <c r="N446" s="17" t="str">
        <f t="shared" si="73"/>
        <v>Increasing Pressure</v>
      </c>
      <c r="O446" s="16">
        <f t="shared" si="74"/>
        <v>0.921875</v>
      </c>
      <c r="P446" s="14">
        <f t="shared" si="76"/>
        <v>6161.5714285714284</v>
      </c>
      <c r="Q446" s="16">
        <f t="shared" si="75"/>
        <v>2918.4580782596145</v>
      </c>
    </row>
    <row r="447" spans="1:17" x14ac:dyDescent="0.3">
      <c r="A447" s="13">
        <v>45607</v>
      </c>
      <c r="B447" s="13" t="str">
        <f t="shared" si="66"/>
        <v>November</v>
      </c>
      <c r="C447" s="13" t="str">
        <f t="shared" si="67"/>
        <v>2024-11</v>
      </c>
      <c r="D447" s="8">
        <v>118</v>
      </c>
      <c r="E447" s="8">
        <v>139</v>
      </c>
      <c r="F447" s="8">
        <v>168</v>
      </c>
      <c r="G447" s="8">
        <v>5963</v>
      </c>
      <c r="H447" s="8">
        <v>145</v>
      </c>
      <c r="I447" s="14">
        <f t="shared" si="68"/>
        <v>6102</v>
      </c>
      <c r="J447" s="14">
        <f t="shared" si="69"/>
        <v>23</v>
      </c>
      <c r="K447" s="15">
        <f t="shared" si="70"/>
        <v>1.7699115044247787E-2</v>
      </c>
      <c r="L447" s="16" t="str">
        <f t="shared" si="71"/>
        <v>Invalid</v>
      </c>
      <c r="M447" s="16" t="str">
        <f t="shared" si="72"/>
        <v>Valid</v>
      </c>
      <c r="N447" s="17" t="str">
        <f t="shared" si="73"/>
        <v>Increasing Pressure</v>
      </c>
      <c r="O447" s="16">
        <f t="shared" si="74"/>
        <v>0.86309523809523814</v>
      </c>
      <c r="P447" s="14">
        <f t="shared" si="76"/>
        <v>6124</v>
      </c>
      <c r="Q447" s="16">
        <f t="shared" si="75"/>
        <v>2918.4580782596145</v>
      </c>
    </row>
    <row r="448" spans="1:17" x14ac:dyDescent="0.3">
      <c r="A448" s="13">
        <v>45608</v>
      </c>
      <c r="B448" s="13" t="str">
        <f t="shared" si="66"/>
        <v>November</v>
      </c>
      <c r="C448" s="13" t="str">
        <f t="shared" si="67"/>
        <v>2024-11</v>
      </c>
      <c r="D448" s="8">
        <v>142</v>
      </c>
      <c r="E448" s="8">
        <v>235</v>
      </c>
      <c r="F448" s="8">
        <v>139</v>
      </c>
      <c r="G448" s="8">
        <v>5975</v>
      </c>
      <c r="H448" s="8">
        <v>138</v>
      </c>
      <c r="I448" s="14">
        <f t="shared" si="68"/>
        <v>6210</v>
      </c>
      <c r="J448" s="14">
        <f t="shared" si="69"/>
        <v>1</v>
      </c>
      <c r="K448" s="15">
        <f t="shared" si="70"/>
        <v>1.6103059581320451E-4</v>
      </c>
      <c r="L448" s="16" t="str">
        <f t="shared" si="71"/>
        <v>Valid</v>
      </c>
      <c r="M448" s="16" t="str">
        <f t="shared" si="72"/>
        <v>Valid</v>
      </c>
      <c r="N448" s="17" t="str">
        <f t="shared" si="73"/>
        <v>Increasing Pressure</v>
      </c>
      <c r="O448" s="16">
        <f t="shared" si="74"/>
        <v>0.9928057553956835</v>
      </c>
      <c r="P448" s="14">
        <f t="shared" si="76"/>
        <v>6122.4285714285716</v>
      </c>
      <c r="Q448" s="16">
        <f t="shared" si="75"/>
        <v>2918.4580782596145</v>
      </c>
    </row>
    <row r="449" spans="1:17" x14ac:dyDescent="0.3">
      <c r="A449" s="13">
        <v>45609</v>
      </c>
      <c r="B449" s="13" t="str">
        <f t="shared" si="66"/>
        <v>November</v>
      </c>
      <c r="C449" s="13" t="str">
        <f t="shared" si="67"/>
        <v>2024-11</v>
      </c>
      <c r="D449" s="8">
        <v>148</v>
      </c>
      <c r="E449" s="8">
        <v>245</v>
      </c>
      <c r="F449" s="8">
        <v>175</v>
      </c>
      <c r="G449" s="8">
        <v>5966</v>
      </c>
      <c r="H449" s="8">
        <v>151</v>
      </c>
      <c r="I449" s="14">
        <f t="shared" si="68"/>
        <v>6211</v>
      </c>
      <c r="J449" s="14">
        <f t="shared" si="69"/>
        <v>24</v>
      </c>
      <c r="K449" s="15">
        <f t="shared" si="70"/>
        <v>5.3131540814683629E-3</v>
      </c>
      <c r="L449" s="16" t="str">
        <f t="shared" si="71"/>
        <v>Valid</v>
      </c>
      <c r="M449" s="16" t="str">
        <f t="shared" si="72"/>
        <v>Valid</v>
      </c>
      <c r="N449" s="17" t="str">
        <f t="shared" si="73"/>
        <v>Increasing Pressure</v>
      </c>
      <c r="O449" s="16">
        <f t="shared" si="74"/>
        <v>0.86285714285714288</v>
      </c>
      <c r="P449" s="14">
        <f t="shared" si="76"/>
        <v>6101.5714285714284</v>
      </c>
      <c r="Q449" s="16">
        <f t="shared" si="75"/>
        <v>2918.4580782596145</v>
      </c>
    </row>
    <row r="450" spans="1:17" x14ac:dyDescent="0.3">
      <c r="A450" s="13">
        <v>45610</v>
      </c>
      <c r="B450" s="13" t="str">
        <f t="shared" ref="B450:B513" si="77">TEXT(A450, "mmmm")</f>
        <v>November</v>
      </c>
      <c r="C450" s="13" t="str">
        <f t="shared" ref="C450:C513" si="78">TEXT(A450, "yyyy-mm")</f>
        <v>2024-11</v>
      </c>
      <c r="D450" s="8">
        <v>119</v>
      </c>
      <c r="E450" s="8">
        <v>219</v>
      </c>
      <c r="F450" s="8">
        <v>210</v>
      </c>
      <c r="G450" s="8">
        <v>6025</v>
      </c>
      <c r="H450" s="8">
        <v>172</v>
      </c>
      <c r="I450" s="14">
        <f t="shared" ref="I450:I513" si="79">SUM(G450+E450)</f>
        <v>6244</v>
      </c>
      <c r="J450" s="14">
        <f t="shared" ref="J450:J513" si="80">F450-H450</f>
        <v>38</v>
      </c>
      <c r="K450" s="15">
        <f t="shared" ref="K450:K513" si="81">(I451-I450)/I450</f>
        <v>-3.4913516976297243E-2</v>
      </c>
      <c r="L450" s="16" t="str">
        <f t="shared" ref="L450:L513" si="82">IF(F450&lt;=E450, "Valid", "Invalid")</f>
        <v>Valid</v>
      </c>
      <c r="M450" s="16" t="str">
        <f t="shared" ref="M450:M513" si="83">IF(H450&lt;=G450, "Valid", "Invalid")</f>
        <v>Valid</v>
      </c>
      <c r="N450" s="17" t="str">
        <f t="shared" ref="N450:N513" si="84">IF(J450&gt;0, "Increasing Pressure", "Stable/Reducing")</f>
        <v>Increasing Pressure</v>
      </c>
      <c r="O450" s="16">
        <f t="shared" ref="O450:O513" si="85">IFERROR(H450/F450, 0)</f>
        <v>0.81904761904761902</v>
      </c>
      <c r="P450" s="14">
        <f t="shared" si="76"/>
        <v>6063.8571428571431</v>
      </c>
      <c r="Q450" s="16">
        <f t="shared" ref="Q450:Q513" si="86">_xlfn.STDEV.S(I:I)</f>
        <v>2918.4580782596145</v>
      </c>
    </row>
    <row r="451" spans="1:17" x14ac:dyDescent="0.3">
      <c r="A451" s="13">
        <v>45613</v>
      </c>
      <c r="B451" s="13" t="str">
        <f t="shared" si="77"/>
        <v>November</v>
      </c>
      <c r="C451" s="13" t="str">
        <f t="shared" si="78"/>
        <v>2024-11</v>
      </c>
      <c r="D451" s="8">
        <v>105</v>
      </c>
      <c r="E451" s="8">
        <v>210</v>
      </c>
      <c r="F451" s="8">
        <v>149</v>
      </c>
      <c r="G451" s="8">
        <v>5816</v>
      </c>
      <c r="H451" s="8">
        <v>195</v>
      </c>
      <c r="I451" s="14">
        <f t="shared" si="79"/>
        <v>6026</v>
      </c>
      <c r="J451" s="14">
        <f t="shared" si="80"/>
        <v>-46</v>
      </c>
      <c r="K451" s="15">
        <f t="shared" si="81"/>
        <v>-6.6379024228343847E-4</v>
      </c>
      <c r="L451" s="16" t="str">
        <f t="shared" si="82"/>
        <v>Valid</v>
      </c>
      <c r="M451" s="16" t="str">
        <f t="shared" si="83"/>
        <v>Valid</v>
      </c>
      <c r="N451" s="17" t="str">
        <f t="shared" si="84"/>
        <v>Stable/Reducing</v>
      </c>
      <c r="O451" s="16">
        <f t="shared" si="85"/>
        <v>1.3087248322147651</v>
      </c>
      <c r="P451" s="14">
        <f t="shared" ref="P451:P514" si="87">AVERAGE(I451:I457)</f>
        <v>6030.7142857142853</v>
      </c>
      <c r="Q451" s="16">
        <f t="shared" si="86"/>
        <v>2918.4580782596145</v>
      </c>
    </row>
    <row r="452" spans="1:17" x14ac:dyDescent="0.3">
      <c r="A452" s="13">
        <v>45614</v>
      </c>
      <c r="B452" s="13" t="str">
        <f t="shared" si="77"/>
        <v>November</v>
      </c>
      <c r="C452" s="13" t="str">
        <f t="shared" si="78"/>
        <v>2024-11</v>
      </c>
      <c r="D452" s="8">
        <v>143</v>
      </c>
      <c r="E452" s="8">
        <v>203</v>
      </c>
      <c r="F452" s="8">
        <v>163</v>
      </c>
      <c r="G452" s="8">
        <v>5819</v>
      </c>
      <c r="H452" s="8">
        <v>138</v>
      </c>
      <c r="I452" s="14">
        <f t="shared" si="79"/>
        <v>6022</v>
      </c>
      <c r="J452" s="14">
        <f t="shared" si="80"/>
        <v>25</v>
      </c>
      <c r="K452" s="15">
        <f t="shared" si="81"/>
        <v>5.1477914314181335E-3</v>
      </c>
      <c r="L452" s="16" t="str">
        <f t="shared" si="82"/>
        <v>Valid</v>
      </c>
      <c r="M452" s="16" t="str">
        <f t="shared" si="83"/>
        <v>Valid</v>
      </c>
      <c r="N452" s="17" t="str">
        <f t="shared" si="84"/>
        <v>Increasing Pressure</v>
      </c>
      <c r="O452" s="16">
        <f t="shared" si="85"/>
        <v>0.84662576687116564</v>
      </c>
      <c r="P452" s="14">
        <f t="shared" si="87"/>
        <v>6041</v>
      </c>
      <c r="Q452" s="16">
        <f t="shared" si="86"/>
        <v>2918.4580782596145</v>
      </c>
    </row>
    <row r="453" spans="1:17" x14ac:dyDescent="0.3">
      <c r="A453" s="13">
        <v>45615</v>
      </c>
      <c r="B453" s="13" t="str">
        <f t="shared" si="77"/>
        <v>November</v>
      </c>
      <c r="C453" s="13" t="str">
        <f t="shared" si="78"/>
        <v>2024-11</v>
      </c>
      <c r="D453" s="8">
        <v>119</v>
      </c>
      <c r="E453" s="8">
        <v>209</v>
      </c>
      <c r="F453" s="8">
        <v>152</v>
      </c>
      <c r="G453" s="8">
        <v>5844</v>
      </c>
      <c r="H453" s="8">
        <v>146</v>
      </c>
      <c r="I453" s="14">
        <f t="shared" si="79"/>
        <v>6053</v>
      </c>
      <c r="J453" s="14">
        <f t="shared" si="80"/>
        <v>6</v>
      </c>
      <c r="K453" s="15">
        <f t="shared" si="81"/>
        <v>6.2778787378159591E-3</v>
      </c>
      <c r="L453" s="16" t="str">
        <f t="shared" si="82"/>
        <v>Valid</v>
      </c>
      <c r="M453" s="16" t="str">
        <f t="shared" si="83"/>
        <v>Valid</v>
      </c>
      <c r="N453" s="17" t="str">
        <f t="shared" si="84"/>
        <v>Increasing Pressure</v>
      </c>
      <c r="O453" s="16">
        <f t="shared" si="85"/>
        <v>0.96052631578947367</v>
      </c>
      <c r="P453" s="14">
        <f t="shared" si="87"/>
        <v>6070.5714285714284</v>
      </c>
      <c r="Q453" s="16">
        <f t="shared" si="86"/>
        <v>2918.4580782596145</v>
      </c>
    </row>
    <row r="454" spans="1:17" x14ac:dyDescent="0.3">
      <c r="A454" s="13">
        <v>45616</v>
      </c>
      <c r="B454" s="13" t="str">
        <f t="shared" si="77"/>
        <v>November</v>
      </c>
      <c r="C454" s="13" t="str">
        <f t="shared" si="78"/>
        <v>2024-11</v>
      </c>
      <c r="D454" s="8">
        <v>155</v>
      </c>
      <c r="E454" s="8">
        <v>212</v>
      </c>
      <c r="F454" s="8">
        <v>181</v>
      </c>
      <c r="G454" s="8">
        <v>5879</v>
      </c>
      <c r="H454" s="8">
        <v>148</v>
      </c>
      <c r="I454" s="14">
        <f t="shared" si="79"/>
        <v>6091</v>
      </c>
      <c r="J454" s="14">
        <f t="shared" si="80"/>
        <v>33</v>
      </c>
      <c r="K454" s="15">
        <f t="shared" si="81"/>
        <v>-4.4327696601543258E-3</v>
      </c>
      <c r="L454" s="16" t="str">
        <f t="shared" si="82"/>
        <v>Valid</v>
      </c>
      <c r="M454" s="16" t="str">
        <f t="shared" si="83"/>
        <v>Valid</v>
      </c>
      <c r="N454" s="17" t="str">
        <f t="shared" si="84"/>
        <v>Increasing Pressure</v>
      </c>
      <c r="O454" s="16">
        <f t="shared" si="85"/>
        <v>0.81767955801104975</v>
      </c>
      <c r="P454" s="14">
        <f t="shared" si="87"/>
        <v>6097.7142857142853</v>
      </c>
      <c r="Q454" s="16">
        <f t="shared" si="86"/>
        <v>2918.4580782596145</v>
      </c>
    </row>
    <row r="455" spans="1:17" x14ac:dyDescent="0.3">
      <c r="A455" s="13">
        <v>45617</v>
      </c>
      <c r="B455" s="13" t="str">
        <f t="shared" si="77"/>
        <v>November</v>
      </c>
      <c r="C455" s="13" t="str">
        <f t="shared" si="78"/>
        <v>2024-11</v>
      </c>
      <c r="D455" s="8">
        <v>109</v>
      </c>
      <c r="E455" s="8">
        <v>214</v>
      </c>
      <c r="F455" s="8">
        <v>173</v>
      </c>
      <c r="G455" s="8">
        <v>5850</v>
      </c>
      <c r="H455" s="8">
        <v>210</v>
      </c>
      <c r="I455" s="14">
        <f t="shared" si="79"/>
        <v>6064</v>
      </c>
      <c r="J455" s="14">
        <f t="shared" si="80"/>
        <v>-37</v>
      </c>
      <c r="K455" s="15">
        <f t="shared" si="81"/>
        <v>-1.9294195250659632E-2</v>
      </c>
      <c r="L455" s="16" t="str">
        <f t="shared" si="82"/>
        <v>Valid</v>
      </c>
      <c r="M455" s="16" t="str">
        <f t="shared" si="83"/>
        <v>Valid</v>
      </c>
      <c r="N455" s="17" t="str">
        <f t="shared" si="84"/>
        <v>Stable/Reducing</v>
      </c>
      <c r="O455" s="16">
        <f t="shared" si="85"/>
        <v>1.2138728323699421</v>
      </c>
      <c r="P455" s="14">
        <f t="shared" si="87"/>
        <v>6126.4285714285716</v>
      </c>
      <c r="Q455" s="16">
        <f t="shared" si="86"/>
        <v>2918.4580782596145</v>
      </c>
    </row>
    <row r="456" spans="1:17" x14ac:dyDescent="0.3">
      <c r="A456" s="13">
        <v>45620</v>
      </c>
      <c r="B456" s="13" t="str">
        <f t="shared" si="77"/>
        <v>November</v>
      </c>
      <c r="C456" s="13" t="str">
        <f t="shared" si="78"/>
        <v>2024-11</v>
      </c>
      <c r="D456" s="8">
        <v>191</v>
      </c>
      <c r="E456" s="8">
        <v>283</v>
      </c>
      <c r="F456" s="8">
        <v>192</v>
      </c>
      <c r="G456" s="8">
        <v>5664</v>
      </c>
      <c r="H456" s="8">
        <v>207</v>
      </c>
      <c r="I456" s="14">
        <f t="shared" si="79"/>
        <v>5947</v>
      </c>
      <c r="J456" s="14">
        <f t="shared" si="80"/>
        <v>-15</v>
      </c>
      <c r="K456" s="15">
        <f t="shared" si="81"/>
        <v>1.0929880612073315E-2</v>
      </c>
      <c r="L456" s="16" t="str">
        <f t="shared" si="82"/>
        <v>Valid</v>
      </c>
      <c r="M456" s="16" t="str">
        <f t="shared" si="83"/>
        <v>Valid</v>
      </c>
      <c r="N456" s="17" t="str">
        <f t="shared" si="84"/>
        <v>Stable/Reducing</v>
      </c>
      <c r="O456" s="16">
        <f t="shared" si="85"/>
        <v>1.078125</v>
      </c>
      <c r="P456" s="14">
        <f t="shared" si="87"/>
        <v>6173.1428571428569</v>
      </c>
      <c r="Q456" s="16">
        <f t="shared" si="86"/>
        <v>2918.4580782596145</v>
      </c>
    </row>
    <row r="457" spans="1:17" x14ac:dyDescent="0.3">
      <c r="A457" s="13">
        <v>45621</v>
      </c>
      <c r="B457" s="13" t="str">
        <f t="shared" si="77"/>
        <v>November</v>
      </c>
      <c r="C457" s="13" t="str">
        <f t="shared" si="78"/>
        <v>2024-11</v>
      </c>
      <c r="D457" s="8">
        <v>170</v>
      </c>
      <c r="E457" s="8">
        <v>297</v>
      </c>
      <c r="F457" s="8">
        <v>196</v>
      </c>
      <c r="G457" s="8">
        <v>5715</v>
      </c>
      <c r="H457" s="8">
        <v>129</v>
      </c>
      <c r="I457" s="14">
        <f t="shared" si="79"/>
        <v>6012</v>
      </c>
      <c r="J457" s="14">
        <f t="shared" si="80"/>
        <v>67</v>
      </c>
      <c r="K457" s="15">
        <f t="shared" si="81"/>
        <v>1.4304723885562209E-2</v>
      </c>
      <c r="L457" s="16" t="str">
        <f t="shared" si="82"/>
        <v>Valid</v>
      </c>
      <c r="M457" s="16" t="str">
        <f t="shared" si="83"/>
        <v>Valid</v>
      </c>
      <c r="N457" s="17" t="str">
        <f t="shared" si="84"/>
        <v>Increasing Pressure</v>
      </c>
      <c r="O457" s="16">
        <f t="shared" si="85"/>
        <v>0.65816326530612246</v>
      </c>
      <c r="P457" s="14">
        <f t="shared" si="87"/>
        <v>6241</v>
      </c>
      <c r="Q457" s="16">
        <f t="shared" si="86"/>
        <v>2918.4580782596145</v>
      </c>
    </row>
    <row r="458" spans="1:17" x14ac:dyDescent="0.3">
      <c r="A458" s="13">
        <v>45622</v>
      </c>
      <c r="B458" s="13" t="str">
        <f t="shared" si="77"/>
        <v>November</v>
      </c>
      <c r="C458" s="13" t="str">
        <f t="shared" si="78"/>
        <v>2024-11</v>
      </c>
      <c r="D458" s="8">
        <v>152</v>
      </c>
      <c r="E458" s="8">
        <v>272</v>
      </c>
      <c r="F458" s="8">
        <v>214</v>
      </c>
      <c r="G458" s="8">
        <v>5826</v>
      </c>
      <c r="H458" s="8">
        <v>112</v>
      </c>
      <c r="I458" s="14">
        <f t="shared" si="79"/>
        <v>6098</v>
      </c>
      <c r="J458" s="14">
        <f t="shared" si="80"/>
        <v>102</v>
      </c>
      <c r="K458" s="15">
        <f t="shared" si="81"/>
        <v>2.1482453263365037E-2</v>
      </c>
      <c r="L458" s="16" t="str">
        <f t="shared" si="82"/>
        <v>Valid</v>
      </c>
      <c r="M458" s="16" t="str">
        <f t="shared" si="83"/>
        <v>Valid</v>
      </c>
      <c r="N458" s="17" t="str">
        <f t="shared" si="84"/>
        <v>Increasing Pressure</v>
      </c>
      <c r="O458" s="16">
        <f t="shared" si="85"/>
        <v>0.52336448598130836</v>
      </c>
      <c r="P458" s="14">
        <f t="shared" si="87"/>
        <v>6312.7142857142853</v>
      </c>
      <c r="Q458" s="16">
        <f t="shared" si="86"/>
        <v>2918.4580782596145</v>
      </c>
    </row>
    <row r="459" spans="1:17" x14ac:dyDescent="0.3">
      <c r="A459" s="13">
        <v>45623</v>
      </c>
      <c r="B459" s="13" t="str">
        <f t="shared" si="77"/>
        <v>November</v>
      </c>
      <c r="C459" s="13" t="str">
        <f t="shared" si="78"/>
        <v>2024-11</v>
      </c>
      <c r="D459" s="8">
        <v>239</v>
      </c>
      <c r="E459" s="8">
        <v>367</v>
      </c>
      <c r="F459" s="8">
        <v>224</v>
      </c>
      <c r="G459" s="8">
        <v>5862</v>
      </c>
      <c r="H459" s="8">
        <v>211</v>
      </c>
      <c r="I459" s="14">
        <f t="shared" si="79"/>
        <v>6229</v>
      </c>
      <c r="J459" s="14">
        <f t="shared" si="80"/>
        <v>13</v>
      </c>
      <c r="K459" s="15">
        <f t="shared" si="81"/>
        <v>2.2475517739605072E-3</v>
      </c>
      <c r="L459" s="16" t="str">
        <f t="shared" si="82"/>
        <v>Valid</v>
      </c>
      <c r="M459" s="16" t="str">
        <f t="shared" si="83"/>
        <v>Valid</v>
      </c>
      <c r="N459" s="17" t="str">
        <f t="shared" si="84"/>
        <v>Increasing Pressure</v>
      </c>
      <c r="O459" s="16">
        <f t="shared" si="85"/>
        <v>0.9419642857142857</v>
      </c>
      <c r="P459" s="14">
        <f t="shared" si="87"/>
        <v>6383.4285714285716</v>
      </c>
      <c r="Q459" s="16">
        <f t="shared" si="86"/>
        <v>2918.4580782596145</v>
      </c>
    </row>
    <row r="460" spans="1:17" x14ac:dyDescent="0.3">
      <c r="A460" s="13">
        <v>45624</v>
      </c>
      <c r="B460" s="13" t="str">
        <f t="shared" si="77"/>
        <v>November</v>
      </c>
      <c r="C460" s="13" t="str">
        <f t="shared" si="78"/>
        <v>2024-11</v>
      </c>
      <c r="D460" s="8">
        <v>113</v>
      </c>
      <c r="E460" s="8">
        <v>280</v>
      </c>
      <c r="F460" s="8">
        <v>237</v>
      </c>
      <c r="G460" s="8">
        <v>5963</v>
      </c>
      <c r="H460" s="8">
        <v>143</v>
      </c>
      <c r="I460" s="14">
        <f t="shared" si="79"/>
        <v>6243</v>
      </c>
      <c r="J460" s="14">
        <f t="shared" si="80"/>
        <v>94</v>
      </c>
      <c r="K460" s="15">
        <f t="shared" si="81"/>
        <v>7.8487906455229853E-3</v>
      </c>
      <c r="L460" s="16" t="str">
        <f t="shared" si="82"/>
        <v>Valid</v>
      </c>
      <c r="M460" s="16" t="str">
        <f t="shared" si="83"/>
        <v>Valid</v>
      </c>
      <c r="N460" s="17" t="str">
        <f t="shared" si="84"/>
        <v>Increasing Pressure</v>
      </c>
      <c r="O460" s="16">
        <f t="shared" si="85"/>
        <v>0.6033755274261603</v>
      </c>
      <c r="P460" s="14">
        <f t="shared" si="87"/>
        <v>6426.2857142857147</v>
      </c>
      <c r="Q460" s="16">
        <f t="shared" si="86"/>
        <v>2918.4580782596145</v>
      </c>
    </row>
    <row r="461" spans="1:17" x14ac:dyDescent="0.3">
      <c r="A461" s="13">
        <v>45627</v>
      </c>
      <c r="B461" s="13" t="str">
        <f t="shared" si="77"/>
        <v>December</v>
      </c>
      <c r="C461" s="13" t="str">
        <f t="shared" si="78"/>
        <v>2024-12</v>
      </c>
      <c r="D461" s="8">
        <v>196</v>
      </c>
      <c r="E461" s="8">
        <v>306</v>
      </c>
      <c r="F461" s="8">
        <v>187</v>
      </c>
      <c r="G461" s="8">
        <v>5986</v>
      </c>
      <c r="H461" s="8">
        <v>149</v>
      </c>
      <c r="I461" s="14">
        <f t="shared" si="79"/>
        <v>6292</v>
      </c>
      <c r="J461" s="14">
        <f t="shared" si="80"/>
        <v>38</v>
      </c>
      <c r="K461" s="15">
        <f t="shared" si="81"/>
        <v>1.5734265734265736E-2</v>
      </c>
      <c r="L461" s="16" t="str">
        <f t="shared" si="82"/>
        <v>Valid</v>
      </c>
      <c r="M461" s="16" t="str">
        <f t="shared" si="83"/>
        <v>Valid</v>
      </c>
      <c r="N461" s="17" t="str">
        <f t="shared" si="84"/>
        <v>Increasing Pressure</v>
      </c>
      <c r="O461" s="16">
        <f t="shared" si="85"/>
        <v>0.79679144385026734</v>
      </c>
      <c r="P461" s="14">
        <f t="shared" si="87"/>
        <v>6474.8571428571431</v>
      </c>
      <c r="Q461" s="16">
        <f t="shared" si="86"/>
        <v>2918.4580782596145</v>
      </c>
    </row>
    <row r="462" spans="1:17" x14ac:dyDescent="0.3">
      <c r="A462" s="13">
        <v>45628</v>
      </c>
      <c r="B462" s="13" t="str">
        <f t="shared" si="77"/>
        <v>December</v>
      </c>
      <c r="C462" s="13" t="str">
        <f t="shared" si="78"/>
        <v>2024-12</v>
      </c>
      <c r="D462" s="8">
        <v>236</v>
      </c>
      <c r="E462" s="8">
        <v>330</v>
      </c>
      <c r="F462" s="8">
        <v>222</v>
      </c>
      <c r="G462" s="8">
        <v>6061</v>
      </c>
      <c r="H462" s="8">
        <v>115</v>
      </c>
      <c r="I462" s="14">
        <f t="shared" si="79"/>
        <v>6391</v>
      </c>
      <c r="J462" s="14">
        <f t="shared" si="80"/>
        <v>107</v>
      </c>
      <c r="K462" s="15">
        <f t="shared" si="81"/>
        <v>4.8505711156313566E-3</v>
      </c>
      <c r="L462" s="16" t="str">
        <f t="shared" si="82"/>
        <v>Valid</v>
      </c>
      <c r="M462" s="16" t="str">
        <f t="shared" si="83"/>
        <v>Valid</v>
      </c>
      <c r="N462" s="17" t="str">
        <f t="shared" si="84"/>
        <v>Increasing Pressure</v>
      </c>
      <c r="O462" s="16">
        <f t="shared" si="85"/>
        <v>0.51801801801801806</v>
      </c>
      <c r="P462" s="14">
        <f t="shared" si="87"/>
        <v>6524</v>
      </c>
      <c r="Q462" s="16">
        <f t="shared" si="86"/>
        <v>2918.4580782596145</v>
      </c>
    </row>
    <row r="463" spans="1:17" x14ac:dyDescent="0.3">
      <c r="A463" s="13">
        <v>45629</v>
      </c>
      <c r="B463" s="13" t="str">
        <f t="shared" si="77"/>
        <v>December</v>
      </c>
      <c r="C463" s="13" t="str">
        <f t="shared" si="78"/>
        <v>2024-12</v>
      </c>
      <c r="D463" s="8">
        <v>81</v>
      </c>
      <c r="E463" s="8">
        <v>230</v>
      </c>
      <c r="F463" s="8">
        <v>242</v>
      </c>
      <c r="G463" s="8">
        <v>6192</v>
      </c>
      <c r="H463" s="8">
        <v>107</v>
      </c>
      <c r="I463" s="14">
        <f t="shared" si="79"/>
        <v>6422</v>
      </c>
      <c r="J463" s="14">
        <f t="shared" si="80"/>
        <v>135</v>
      </c>
      <c r="K463" s="15">
        <f t="shared" si="81"/>
        <v>1.4325755216443475E-2</v>
      </c>
      <c r="L463" s="16" t="str">
        <f t="shared" si="82"/>
        <v>Invalid</v>
      </c>
      <c r="M463" s="16" t="str">
        <f t="shared" si="83"/>
        <v>Valid</v>
      </c>
      <c r="N463" s="17" t="str">
        <f t="shared" si="84"/>
        <v>Increasing Pressure</v>
      </c>
      <c r="O463" s="16">
        <f t="shared" si="85"/>
        <v>0.44214876033057854</v>
      </c>
      <c r="P463" s="14">
        <f t="shared" si="87"/>
        <v>6576</v>
      </c>
      <c r="Q463" s="16">
        <f t="shared" si="86"/>
        <v>2918.4580782596145</v>
      </c>
    </row>
    <row r="464" spans="1:17" x14ac:dyDescent="0.3">
      <c r="A464" s="13">
        <v>45630</v>
      </c>
      <c r="B464" s="13" t="str">
        <f t="shared" si="77"/>
        <v>December</v>
      </c>
      <c r="C464" s="13" t="str">
        <f t="shared" si="78"/>
        <v>2024-12</v>
      </c>
      <c r="D464" s="8">
        <v>118</v>
      </c>
      <c r="E464" s="8">
        <v>245</v>
      </c>
      <c r="F464" s="8">
        <v>160</v>
      </c>
      <c r="G464" s="8">
        <v>6269</v>
      </c>
      <c r="H464" s="8">
        <v>115</v>
      </c>
      <c r="I464" s="14">
        <f t="shared" si="79"/>
        <v>6514</v>
      </c>
      <c r="J464" s="14">
        <f t="shared" si="80"/>
        <v>45</v>
      </c>
      <c r="K464" s="15">
        <f t="shared" si="81"/>
        <v>1.2127724900214921E-2</v>
      </c>
      <c r="L464" s="16" t="str">
        <f t="shared" si="82"/>
        <v>Valid</v>
      </c>
      <c r="M464" s="16" t="str">
        <f t="shared" si="83"/>
        <v>Valid</v>
      </c>
      <c r="N464" s="17" t="str">
        <f t="shared" si="84"/>
        <v>Increasing Pressure</v>
      </c>
      <c r="O464" s="16">
        <f t="shared" si="85"/>
        <v>0.71875</v>
      </c>
      <c r="P464" s="14">
        <f t="shared" si="87"/>
        <v>6620.5714285714284</v>
      </c>
      <c r="Q464" s="16">
        <f t="shared" si="86"/>
        <v>2918.4580782596145</v>
      </c>
    </row>
    <row r="465" spans="1:17" x14ac:dyDescent="0.3">
      <c r="A465" s="13">
        <v>45631</v>
      </c>
      <c r="B465" s="13" t="str">
        <f t="shared" si="77"/>
        <v>December</v>
      </c>
      <c r="C465" s="13" t="str">
        <f t="shared" si="78"/>
        <v>2024-12</v>
      </c>
      <c r="D465" s="8">
        <v>218</v>
      </c>
      <c r="E465" s="8">
        <v>283</v>
      </c>
      <c r="F465" s="8">
        <v>208</v>
      </c>
      <c r="G465" s="8">
        <v>6310</v>
      </c>
      <c r="H465" s="8">
        <v>150</v>
      </c>
      <c r="I465" s="14">
        <f t="shared" si="79"/>
        <v>6593</v>
      </c>
      <c r="J465" s="14">
        <f t="shared" si="80"/>
        <v>58</v>
      </c>
      <c r="K465" s="15">
        <f t="shared" si="81"/>
        <v>-9.7072652813590173E-3</v>
      </c>
      <c r="L465" s="16" t="str">
        <f t="shared" si="82"/>
        <v>Valid</v>
      </c>
      <c r="M465" s="16" t="str">
        <f t="shared" si="83"/>
        <v>Valid</v>
      </c>
      <c r="N465" s="17" t="str">
        <f t="shared" si="84"/>
        <v>Increasing Pressure</v>
      </c>
      <c r="O465" s="16">
        <f t="shared" si="85"/>
        <v>0.72115384615384615</v>
      </c>
      <c r="P465" s="14">
        <f t="shared" si="87"/>
        <v>6653.5714285714284</v>
      </c>
      <c r="Q465" s="16">
        <f t="shared" si="86"/>
        <v>2918.4580782596145</v>
      </c>
    </row>
    <row r="466" spans="1:17" x14ac:dyDescent="0.3">
      <c r="A466" s="13">
        <v>45634</v>
      </c>
      <c r="B466" s="13" t="str">
        <f t="shared" si="77"/>
        <v>December</v>
      </c>
      <c r="C466" s="13" t="str">
        <f t="shared" si="78"/>
        <v>2024-12</v>
      </c>
      <c r="D466" s="8">
        <v>132</v>
      </c>
      <c r="E466" s="8">
        <v>243</v>
      </c>
      <c r="F466" s="8">
        <v>183</v>
      </c>
      <c r="G466" s="8">
        <v>6286</v>
      </c>
      <c r="H466" s="8">
        <v>172</v>
      </c>
      <c r="I466" s="14">
        <f t="shared" si="79"/>
        <v>6529</v>
      </c>
      <c r="J466" s="14">
        <f t="shared" si="80"/>
        <v>11</v>
      </c>
      <c r="K466" s="15">
        <f t="shared" si="81"/>
        <v>8.2707918517383981E-3</v>
      </c>
      <c r="L466" s="16" t="str">
        <f t="shared" si="82"/>
        <v>Valid</v>
      </c>
      <c r="M466" s="16" t="str">
        <f t="shared" si="83"/>
        <v>Valid</v>
      </c>
      <c r="N466" s="17" t="str">
        <f t="shared" si="84"/>
        <v>Increasing Pressure</v>
      </c>
      <c r="O466" s="16">
        <f t="shared" si="85"/>
        <v>0.93989071038251371</v>
      </c>
      <c r="P466" s="14">
        <f t="shared" si="87"/>
        <v>6674.7142857142853</v>
      </c>
      <c r="Q466" s="16">
        <f t="shared" si="86"/>
        <v>2918.4580782596145</v>
      </c>
    </row>
    <row r="467" spans="1:17" x14ac:dyDescent="0.3">
      <c r="A467" s="13">
        <v>45635</v>
      </c>
      <c r="B467" s="13" t="str">
        <f t="shared" si="77"/>
        <v>December</v>
      </c>
      <c r="C467" s="13" t="str">
        <f t="shared" si="78"/>
        <v>2024-12</v>
      </c>
      <c r="D467" s="8">
        <v>224</v>
      </c>
      <c r="E467" s="8">
        <v>315</v>
      </c>
      <c r="F467" s="8">
        <v>152</v>
      </c>
      <c r="G467" s="8">
        <v>6268</v>
      </c>
      <c r="H467" s="8">
        <v>174</v>
      </c>
      <c r="I467" s="14">
        <f t="shared" si="79"/>
        <v>6583</v>
      </c>
      <c r="J467" s="14">
        <f t="shared" si="80"/>
        <v>-22</v>
      </c>
      <c r="K467" s="15">
        <f t="shared" si="81"/>
        <v>8.0510405590156469E-3</v>
      </c>
      <c r="L467" s="16" t="str">
        <f t="shared" si="82"/>
        <v>Valid</v>
      </c>
      <c r="M467" s="16" t="str">
        <f t="shared" si="83"/>
        <v>Valid</v>
      </c>
      <c r="N467" s="17" t="str">
        <f t="shared" si="84"/>
        <v>Stable/Reducing</v>
      </c>
      <c r="O467" s="16">
        <f t="shared" si="85"/>
        <v>1.1447368421052631</v>
      </c>
      <c r="P467" s="14">
        <f t="shared" si="87"/>
        <v>6715.7142857142853</v>
      </c>
      <c r="Q467" s="16">
        <f t="shared" si="86"/>
        <v>2918.4580782596145</v>
      </c>
    </row>
    <row r="468" spans="1:17" x14ac:dyDescent="0.3">
      <c r="A468" s="13">
        <v>45636</v>
      </c>
      <c r="B468" s="13" t="str">
        <f t="shared" si="77"/>
        <v>December</v>
      </c>
      <c r="C468" s="13" t="str">
        <f t="shared" si="78"/>
        <v>2024-12</v>
      </c>
      <c r="D468" s="8">
        <v>167</v>
      </c>
      <c r="E468" s="8">
        <v>326</v>
      </c>
      <c r="F468" s="8">
        <v>213</v>
      </c>
      <c r="G468" s="8">
        <v>6310</v>
      </c>
      <c r="H468" s="8">
        <v>149</v>
      </c>
      <c r="I468" s="14">
        <f t="shared" si="79"/>
        <v>6636</v>
      </c>
      <c r="J468" s="14">
        <f t="shared" si="80"/>
        <v>64</v>
      </c>
      <c r="K468" s="15">
        <f t="shared" si="81"/>
        <v>1.7932489451476793E-2</v>
      </c>
      <c r="L468" s="16" t="str">
        <f t="shared" si="82"/>
        <v>Valid</v>
      </c>
      <c r="M468" s="16" t="str">
        <f t="shared" si="83"/>
        <v>Valid</v>
      </c>
      <c r="N468" s="17" t="str">
        <f t="shared" si="84"/>
        <v>Increasing Pressure</v>
      </c>
      <c r="O468" s="16">
        <f t="shared" si="85"/>
        <v>0.69953051643192488</v>
      </c>
      <c r="P468" s="14">
        <f t="shared" si="87"/>
        <v>6758.5714285714284</v>
      </c>
      <c r="Q468" s="16">
        <f t="shared" si="86"/>
        <v>2918.4580782596145</v>
      </c>
    </row>
    <row r="469" spans="1:17" x14ac:dyDescent="0.3">
      <c r="A469" s="13">
        <v>45637</v>
      </c>
      <c r="B469" s="13" t="str">
        <f t="shared" si="77"/>
        <v>December</v>
      </c>
      <c r="C469" s="13" t="str">
        <f t="shared" si="78"/>
        <v>2024-12</v>
      </c>
      <c r="D469" s="8">
        <v>209</v>
      </c>
      <c r="E469" s="8">
        <v>353</v>
      </c>
      <c r="F469" s="8">
        <v>232</v>
      </c>
      <c r="G469" s="8">
        <v>6402</v>
      </c>
      <c r="H469" s="8">
        <v>152</v>
      </c>
      <c r="I469" s="14">
        <f t="shared" si="79"/>
        <v>6755</v>
      </c>
      <c r="J469" s="14">
        <f t="shared" si="80"/>
        <v>80</v>
      </c>
      <c r="K469" s="15">
        <f t="shared" si="81"/>
        <v>-3.1088082901554403E-3</v>
      </c>
      <c r="L469" s="16" t="str">
        <f t="shared" si="82"/>
        <v>Valid</v>
      </c>
      <c r="M469" s="16" t="str">
        <f t="shared" si="83"/>
        <v>Valid</v>
      </c>
      <c r="N469" s="17" t="str">
        <f t="shared" si="84"/>
        <v>Increasing Pressure</v>
      </c>
      <c r="O469" s="16">
        <f t="shared" si="85"/>
        <v>0.65517241379310343</v>
      </c>
      <c r="P469" s="14">
        <f t="shared" si="87"/>
        <v>6812.2857142857147</v>
      </c>
      <c r="Q469" s="16">
        <f t="shared" si="86"/>
        <v>2918.4580782596145</v>
      </c>
    </row>
    <row r="470" spans="1:17" x14ac:dyDescent="0.3">
      <c r="A470" s="13">
        <v>45638</v>
      </c>
      <c r="B470" s="13" t="str">
        <f t="shared" si="77"/>
        <v>December</v>
      </c>
      <c r="C470" s="13" t="str">
        <f t="shared" si="78"/>
        <v>2024-12</v>
      </c>
      <c r="D470" s="8">
        <v>153</v>
      </c>
      <c r="E470" s="8">
        <v>253</v>
      </c>
      <c r="F470" s="8">
        <v>286</v>
      </c>
      <c r="G470" s="8">
        <v>6481</v>
      </c>
      <c r="H470" s="8">
        <v>194</v>
      </c>
      <c r="I470" s="14">
        <f t="shared" si="79"/>
        <v>6734</v>
      </c>
      <c r="J470" s="14">
        <f t="shared" si="80"/>
        <v>92</v>
      </c>
      <c r="K470" s="15">
        <f t="shared" si="81"/>
        <v>1.6335016335016334E-3</v>
      </c>
      <c r="L470" s="16" t="str">
        <f t="shared" si="82"/>
        <v>Invalid</v>
      </c>
      <c r="M470" s="16" t="str">
        <f t="shared" si="83"/>
        <v>Valid</v>
      </c>
      <c r="N470" s="17" t="str">
        <f t="shared" si="84"/>
        <v>Increasing Pressure</v>
      </c>
      <c r="O470" s="16">
        <f t="shared" si="85"/>
        <v>0.67832167832167833</v>
      </c>
      <c r="P470" s="14">
        <f t="shared" si="87"/>
        <v>6825.8571428571431</v>
      </c>
      <c r="Q470" s="16">
        <f t="shared" si="86"/>
        <v>2918.4580782596145</v>
      </c>
    </row>
    <row r="471" spans="1:17" x14ac:dyDescent="0.3">
      <c r="A471" s="13">
        <v>45641</v>
      </c>
      <c r="B471" s="13" t="str">
        <f t="shared" si="77"/>
        <v>December</v>
      </c>
      <c r="C471" s="13" t="str">
        <f t="shared" si="78"/>
        <v>2024-12</v>
      </c>
      <c r="D471" s="8">
        <v>180</v>
      </c>
      <c r="E471" s="8">
        <v>337</v>
      </c>
      <c r="F471" s="8">
        <v>219</v>
      </c>
      <c r="G471" s="8">
        <v>6408</v>
      </c>
      <c r="H471" s="8">
        <v>224</v>
      </c>
      <c r="I471" s="14">
        <f t="shared" si="79"/>
        <v>6745</v>
      </c>
      <c r="J471" s="14">
        <f t="shared" si="80"/>
        <v>-5</v>
      </c>
      <c r="K471" s="15">
        <f t="shared" si="81"/>
        <v>-5.9303187546330617E-4</v>
      </c>
      <c r="L471" s="16" t="str">
        <f t="shared" si="82"/>
        <v>Valid</v>
      </c>
      <c r="M471" s="16" t="str">
        <f t="shared" si="83"/>
        <v>Valid</v>
      </c>
      <c r="N471" s="17" t="str">
        <f t="shared" si="84"/>
        <v>Stable/Reducing</v>
      </c>
      <c r="O471" s="16">
        <f t="shared" si="85"/>
        <v>1.0228310502283104</v>
      </c>
      <c r="P471" s="14">
        <f t="shared" si="87"/>
        <v>6841.2857142857147</v>
      </c>
      <c r="Q471" s="16">
        <f t="shared" si="86"/>
        <v>2918.4580782596145</v>
      </c>
    </row>
    <row r="472" spans="1:17" x14ac:dyDescent="0.3">
      <c r="A472" s="13">
        <v>45642</v>
      </c>
      <c r="B472" s="13" t="str">
        <f t="shared" si="77"/>
        <v>December</v>
      </c>
      <c r="C472" s="13" t="str">
        <f t="shared" si="78"/>
        <v>2024-12</v>
      </c>
      <c r="D472" s="8">
        <v>133</v>
      </c>
      <c r="E472" s="8">
        <v>287</v>
      </c>
      <c r="F472" s="8">
        <v>189</v>
      </c>
      <c r="G472" s="8">
        <v>6454</v>
      </c>
      <c r="H472" s="8">
        <v>149</v>
      </c>
      <c r="I472" s="14">
        <f t="shared" si="79"/>
        <v>6741</v>
      </c>
      <c r="J472" s="14">
        <f t="shared" si="80"/>
        <v>40</v>
      </c>
      <c r="K472" s="15">
        <f t="shared" si="81"/>
        <v>1.1125945705384957E-2</v>
      </c>
      <c r="L472" s="16" t="str">
        <f t="shared" si="82"/>
        <v>Valid</v>
      </c>
      <c r="M472" s="16" t="str">
        <f t="shared" si="83"/>
        <v>Valid</v>
      </c>
      <c r="N472" s="17" t="str">
        <f t="shared" si="84"/>
        <v>Increasing Pressure</v>
      </c>
      <c r="O472" s="16">
        <f t="shared" si="85"/>
        <v>0.78835978835978837</v>
      </c>
      <c r="P472" s="14">
        <f t="shared" si="87"/>
        <v>6867.1428571428569</v>
      </c>
      <c r="Q472" s="16">
        <f t="shared" si="86"/>
        <v>2918.4580782596145</v>
      </c>
    </row>
    <row r="473" spans="1:17" x14ac:dyDescent="0.3">
      <c r="A473" s="13">
        <v>45643</v>
      </c>
      <c r="B473" s="13" t="str">
        <f t="shared" si="77"/>
        <v>December</v>
      </c>
      <c r="C473" s="13" t="str">
        <f t="shared" si="78"/>
        <v>2024-12</v>
      </c>
      <c r="D473" s="8">
        <v>187</v>
      </c>
      <c r="E473" s="8">
        <v>310</v>
      </c>
      <c r="F473" s="8">
        <v>247</v>
      </c>
      <c r="G473" s="8">
        <v>6506</v>
      </c>
      <c r="H473" s="8">
        <v>151</v>
      </c>
      <c r="I473" s="14">
        <f t="shared" si="79"/>
        <v>6816</v>
      </c>
      <c r="J473" s="14">
        <f t="shared" si="80"/>
        <v>96</v>
      </c>
      <c r="K473" s="15">
        <f t="shared" si="81"/>
        <v>9.8298122065727696E-3</v>
      </c>
      <c r="L473" s="16" t="str">
        <f t="shared" si="82"/>
        <v>Valid</v>
      </c>
      <c r="M473" s="16" t="str">
        <f t="shared" si="83"/>
        <v>Valid</v>
      </c>
      <c r="N473" s="17" t="str">
        <f t="shared" si="84"/>
        <v>Increasing Pressure</v>
      </c>
      <c r="O473" s="16">
        <f t="shared" si="85"/>
        <v>0.61133603238866396</v>
      </c>
      <c r="P473" s="14">
        <f t="shared" si="87"/>
        <v>6882.8571428571431</v>
      </c>
      <c r="Q473" s="16">
        <f t="shared" si="86"/>
        <v>2918.4580782596145</v>
      </c>
    </row>
    <row r="474" spans="1:17" x14ac:dyDescent="0.3">
      <c r="A474" s="13">
        <v>45644</v>
      </c>
      <c r="B474" s="13" t="str">
        <f t="shared" si="77"/>
        <v>December</v>
      </c>
      <c r="C474" s="13" t="str">
        <f t="shared" si="78"/>
        <v>2024-12</v>
      </c>
      <c r="D474" s="8">
        <v>168</v>
      </c>
      <c r="E474" s="8">
        <v>285</v>
      </c>
      <c r="F474" s="8">
        <v>210</v>
      </c>
      <c r="G474" s="8">
        <v>6598</v>
      </c>
      <c r="H474" s="8">
        <v>134</v>
      </c>
      <c r="I474" s="14">
        <f t="shared" si="79"/>
        <v>6883</v>
      </c>
      <c r="J474" s="14">
        <f t="shared" si="80"/>
        <v>76</v>
      </c>
      <c r="K474" s="15">
        <f t="shared" si="81"/>
        <v>1.8741827691413627E-2</v>
      </c>
      <c r="L474" s="16" t="str">
        <f t="shared" si="82"/>
        <v>Valid</v>
      </c>
      <c r="M474" s="16" t="str">
        <f t="shared" si="83"/>
        <v>Valid</v>
      </c>
      <c r="N474" s="17" t="str">
        <f t="shared" si="84"/>
        <v>Increasing Pressure</v>
      </c>
      <c r="O474" s="16">
        <f t="shared" si="85"/>
        <v>0.63809523809523805</v>
      </c>
      <c r="P474" s="14">
        <f t="shared" si="87"/>
        <v>6884.7142857142853</v>
      </c>
      <c r="Q474" s="16">
        <f t="shared" si="86"/>
        <v>2918.4580782596145</v>
      </c>
    </row>
    <row r="475" spans="1:17" x14ac:dyDescent="0.3">
      <c r="A475" s="13">
        <v>45645</v>
      </c>
      <c r="B475" s="13" t="str">
        <f t="shared" si="77"/>
        <v>December</v>
      </c>
      <c r="C475" s="13" t="str">
        <f t="shared" si="78"/>
        <v>2024-12</v>
      </c>
      <c r="D475" s="8">
        <v>269</v>
      </c>
      <c r="E475" s="8">
        <v>412</v>
      </c>
      <c r="F475" s="8">
        <v>204</v>
      </c>
      <c r="G475" s="8">
        <v>6600</v>
      </c>
      <c r="H475" s="8">
        <v>238</v>
      </c>
      <c r="I475" s="14">
        <f t="shared" si="79"/>
        <v>7012</v>
      </c>
      <c r="J475" s="14">
        <f t="shared" si="80"/>
        <v>-34</v>
      </c>
      <c r="K475" s="15">
        <f t="shared" si="81"/>
        <v>-2.3103251568739304E-2</v>
      </c>
      <c r="L475" s="16" t="str">
        <f t="shared" si="82"/>
        <v>Valid</v>
      </c>
      <c r="M475" s="16" t="str">
        <f t="shared" si="83"/>
        <v>Valid</v>
      </c>
      <c r="N475" s="17" t="str">
        <f t="shared" si="84"/>
        <v>Stable/Reducing</v>
      </c>
      <c r="O475" s="16">
        <f t="shared" si="85"/>
        <v>1.1666666666666667</v>
      </c>
      <c r="P475" s="14">
        <f t="shared" si="87"/>
        <v>6849.2857142857147</v>
      </c>
      <c r="Q475" s="16">
        <f t="shared" si="86"/>
        <v>2918.4580782596145</v>
      </c>
    </row>
    <row r="476" spans="1:17" x14ac:dyDescent="0.3">
      <c r="A476" s="13">
        <v>45648</v>
      </c>
      <c r="B476" s="13" t="str">
        <f t="shared" si="77"/>
        <v>December</v>
      </c>
      <c r="C476" s="13" t="str">
        <f t="shared" si="78"/>
        <v>2024-12</v>
      </c>
      <c r="D476" s="8">
        <v>100</v>
      </c>
      <c r="E476" s="8">
        <v>255</v>
      </c>
      <c r="F476" s="8">
        <v>236</v>
      </c>
      <c r="G476" s="8">
        <v>6595</v>
      </c>
      <c r="H476" s="8">
        <v>268</v>
      </c>
      <c r="I476" s="14">
        <f t="shared" si="79"/>
        <v>6850</v>
      </c>
      <c r="J476" s="14">
        <f t="shared" si="80"/>
        <v>-32</v>
      </c>
      <c r="K476" s="15">
        <f t="shared" si="81"/>
        <v>-1.1678832116788322E-3</v>
      </c>
      <c r="L476" s="16" t="str">
        <f t="shared" si="82"/>
        <v>Valid</v>
      </c>
      <c r="M476" s="16" t="str">
        <f t="shared" si="83"/>
        <v>Valid</v>
      </c>
      <c r="N476" s="17" t="str">
        <f t="shared" si="84"/>
        <v>Stable/Reducing</v>
      </c>
      <c r="O476" s="16">
        <f t="shared" si="85"/>
        <v>1.1355932203389831</v>
      </c>
      <c r="P476" s="14">
        <f t="shared" si="87"/>
        <v>6791.8571428571431</v>
      </c>
      <c r="Q476" s="16">
        <f t="shared" si="86"/>
        <v>2918.4580782596145</v>
      </c>
    </row>
    <row r="477" spans="1:17" x14ac:dyDescent="0.3">
      <c r="A477" s="13">
        <v>45649</v>
      </c>
      <c r="B477" s="13" t="str">
        <f t="shared" si="77"/>
        <v>December</v>
      </c>
      <c r="C477" s="13" t="str">
        <f t="shared" si="78"/>
        <v>2024-12</v>
      </c>
      <c r="D477" s="8">
        <v>205</v>
      </c>
      <c r="E477" s="8">
        <v>294</v>
      </c>
      <c r="F477" s="8">
        <v>177</v>
      </c>
      <c r="G477" s="8">
        <v>6548</v>
      </c>
      <c r="H477" s="8">
        <v>231</v>
      </c>
      <c r="I477" s="14">
        <f t="shared" si="79"/>
        <v>6842</v>
      </c>
      <c r="J477" s="14">
        <f t="shared" si="80"/>
        <v>-54</v>
      </c>
      <c r="K477" s="15">
        <f t="shared" si="81"/>
        <v>1.2277111955568546E-2</v>
      </c>
      <c r="L477" s="16" t="str">
        <f t="shared" si="82"/>
        <v>Valid</v>
      </c>
      <c r="M477" s="16" t="str">
        <f t="shared" si="83"/>
        <v>Valid</v>
      </c>
      <c r="N477" s="17" t="str">
        <f t="shared" si="84"/>
        <v>Stable/Reducing</v>
      </c>
      <c r="O477" s="16">
        <f t="shared" si="85"/>
        <v>1.3050847457627119</v>
      </c>
      <c r="P477" s="14">
        <f t="shared" si="87"/>
        <v>6737.7142857142853</v>
      </c>
      <c r="Q477" s="16">
        <f t="shared" si="86"/>
        <v>2918.4580782596145</v>
      </c>
    </row>
    <row r="478" spans="1:17" x14ac:dyDescent="0.3">
      <c r="A478" s="13">
        <v>45650</v>
      </c>
      <c r="B478" s="13" t="str">
        <f t="shared" si="77"/>
        <v>December</v>
      </c>
      <c r="C478" s="13" t="str">
        <f t="shared" si="78"/>
        <v>2024-12</v>
      </c>
      <c r="D478" s="8">
        <v>161</v>
      </c>
      <c r="E478" s="8">
        <v>304</v>
      </c>
      <c r="F478" s="8">
        <v>211</v>
      </c>
      <c r="G478" s="8">
        <v>6622</v>
      </c>
      <c r="H478" s="8">
        <v>155</v>
      </c>
      <c r="I478" s="14">
        <f t="shared" si="79"/>
        <v>6926</v>
      </c>
      <c r="J478" s="14">
        <f t="shared" si="80"/>
        <v>56</v>
      </c>
      <c r="K478" s="15">
        <f t="shared" si="81"/>
        <v>-1.0828761189719895E-2</v>
      </c>
      <c r="L478" s="16" t="str">
        <f t="shared" si="82"/>
        <v>Valid</v>
      </c>
      <c r="M478" s="16" t="str">
        <f t="shared" si="83"/>
        <v>Valid</v>
      </c>
      <c r="N478" s="17" t="str">
        <f t="shared" si="84"/>
        <v>Increasing Pressure</v>
      </c>
      <c r="O478" s="16">
        <f t="shared" si="85"/>
        <v>0.7345971563981043</v>
      </c>
      <c r="P478" s="14">
        <f t="shared" si="87"/>
        <v>6669.1428571428569</v>
      </c>
      <c r="Q478" s="16">
        <f t="shared" si="86"/>
        <v>2918.4580782596145</v>
      </c>
    </row>
    <row r="479" spans="1:17" x14ac:dyDescent="0.3">
      <c r="A479" s="13">
        <v>45651</v>
      </c>
      <c r="B479" s="13" t="str">
        <f t="shared" si="77"/>
        <v>December</v>
      </c>
      <c r="C479" s="13" t="str">
        <f t="shared" si="78"/>
        <v>2024-12</v>
      </c>
      <c r="D479" s="8">
        <v>57</v>
      </c>
      <c r="E479" s="8">
        <v>162</v>
      </c>
      <c r="F479" s="8">
        <v>193</v>
      </c>
      <c r="G479" s="8">
        <v>6689</v>
      </c>
      <c r="H479" s="8">
        <v>107</v>
      </c>
      <c r="I479" s="14">
        <f t="shared" si="79"/>
        <v>6851</v>
      </c>
      <c r="J479" s="14">
        <f t="shared" si="80"/>
        <v>86</v>
      </c>
      <c r="K479" s="15">
        <f t="shared" si="81"/>
        <v>-3.2112100423295868E-3</v>
      </c>
      <c r="L479" s="16" t="str">
        <f t="shared" si="82"/>
        <v>Invalid</v>
      </c>
      <c r="M479" s="16" t="str">
        <f t="shared" si="83"/>
        <v>Valid</v>
      </c>
      <c r="N479" s="17" t="str">
        <f t="shared" si="84"/>
        <v>Increasing Pressure</v>
      </c>
      <c r="O479" s="16">
        <f t="shared" si="85"/>
        <v>0.55440414507772018</v>
      </c>
      <c r="P479" s="14">
        <f t="shared" si="87"/>
        <v>6530.4285714285716</v>
      </c>
      <c r="Q479" s="16">
        <f t="shared" si="86"/>
        <v>2918.4580782596145</v>
      </c>
    </row>
    <row r="480" spans="1:17" x14ac:dyDescent="0.3">
      <c r="A480" s="13">
        <v>45652</v>
      </c>
      <c r="B480" s="13" t="str">
        <f t="shared" si="77"/>
        <v>December</v>
      </c>
      <c r="C480" s="13" t="str">
        <f t="shared" si="78"/>
        <v>2024-12</v>
      </c>
      <c r="D480" s="8">
        <v>80</v>
      </c>
      <c r="E480" s="8">
        <v>122</v>
      </c>
      <c r="F480" s="8">
        <v>152</v>
      </c>
      <c r="G480" s="8">
        <v>6707</v>
      </c>
      <c r="H480" s="8">
        <v>135</v>
      </c>
      <c r="I480" s="14">
        <f t="shared" si="79"/>
        <v>6829</v>
      </c>
      <c r="J480" s="14">
        <f t="shared" si="80"/>
        <v>17</v>
      </c>
      <c r="K480" s="15">
        <f t="shared" si="81"/>
        <v>-2.8408258895885195E-2</v>
      </c>
      <c r="L480" s="16" t="str">
        <f t="shared" si="82"/>
        <v>Invalid</v>
      </c>
      <c r="M480" s="16" t="str">
        <f t="shared" si="83"/>
        <v>Valid</v>
      </c>
      <c r="N480" s="17" t="str">
        <f t="shared" si="84"/>
        <v>Increasing Pressure</v>
      </c>
      <c r="O480" s="16">
        <f t="shared" si="85"/>
        <v>0.88815789473684215</v>
      </c>
      <c r="P480" s="14">
        <f t="shared" si="87"/>
        <v>6384.4285714285716</v>
      </c>
      <c r="Q480" s="16">
        <f t="shared" si="86"/>
        <v>2918.4580782596145</v>
      </c>
    </row>
    <row r="481" spans="1:17" x14ac:dyDescent="0.3">
      <c r="A481" s="13">
        <v>45655</v>
      </c>
      <c r="B481" s="13" t="str">
        <f t="shared" si="77"/>
        <v>December</v>
      </c>
      <c r="C481" s="13" t="str">
        <f t="shared" si="78"/>
        <v>2024-12</v>
      </c>
      <c r="D481" s="8">
        <v>107</v>
      </c>
      <c r="E481" s="8">
        <v>170</v>
      </c>
      <c r="F481" s="8">
        <v>133</v>
      </c>
      <c r="G481" s="8">
        <v>6465</v>
      </c>
      <c r="H481" s="8">
        <v>216</v>
      </c>
      <c r="I481" s="14">
        <f t="shared" si="79"/>
        <v>6635</v>
      </c>
      <c r="J481" s="14">
        <f t="shared" si="80"/>
        <v>-83</v>
      </c>
      <c r="K481" s="15">
        <f t="shared" si="81"/>
        <v>-3.7678975131876413E-3</v>
      </c>
      <c r="L481" s="16" t="str">
        <f t="shared" si="82"/>
        <v>Valid</v>
      </c>
      <c r="M481" s="16" t="str">
        <f t="shared" si="83"/>
        <v>Valid</v>
      </c>
      <c r="N481" s="17" t="str">
        <f t="shared" si="84"/>
        <v>Stable/Reducing</v>
      </c>
      <c r="O481" s="16">
        <f t="shared" si="85"/>
        <v>1.6240601503759398</v>
      </c>
      <c r="P481" s="14">
        <f t="shared" si="87"/>
        <v>6235.4285714285716</v>
      </c>
      <c r="Q481" s="16">
        <f t="shared" si="86"/>
        <v>2918.4580782596145</v>
      </c>
    </row>
    <row r="482" spans="1:17" x14ac:dyDescent="0.3">
      <c r="A482" s="13">
        <v>45656</v>
      </c>
      <c r="B482" s="13" t="str">
        <f t="shared" si="77"/>
        <v>December</v>
      </c>
      <c r="C482" s="13" t="str">
        <f t="shared" si="78"/>
        <v>2024-12</v>
      </c>
      <c r="D482" s="8">
        <v>99</v>
      </c>
      <c r="E482" s="8">
        <v>156</v>
      </c>
      <c r="F482" s="8">
        <v>139</v>
      </c>
      <c r="G482" s="8">
        <v>6454</v>
      </c>
      <c r="H482" s="8">
        <v>177</v>
      </c>
      <c r="I482" s="14">
        <f t="shared" si="79"/>
        <v>6610</v>
      </c>
      <c r="J482" s="14">
        <f t="shared" si="80"/>
        <v>-38</v>
      </c>
      <c r="K482" s="15">
        <f t="shared" si="81"/>
        <v>-2.102874432677761E-2</v>
      </c>
      <c r="L482" s="16" t="str">
        <f t="shared" si="82"/>
        <v>Valid</v>
      </c>
      <c r="M482" s="16" t="str">
        <f t="shared" si="83"/>
        <v>Valid</v>
      </c>
      <c r="N482" s="17" t="str">
        <f t="shared" si="84"/>
        <v>Stable/Reducing</v>
      </c>
      <c r="O482" s="16">
        <f t="shared" si="85"/>
        <v>1.2733812949640289</v>
      </c>
      <c r="P482" s="14">
        <f t="shared" si="87"/>
        <v>6099.7142857142853</v>
      </c>
      <c r="Q482" s="16">
        <f t="shared" si="86"/>
        <v>2918.4580782596145</v>
      </c>
    </row>
    <row r="483" spans="1:17" x14ac:dyDescent="0.3">
      <c r="A483" s="13">
        <v>45658</v>
      </c>
      <c r="B483" s="13" t="str">
        <f t="shared" si="77"/>
        <v>January</v>
      </c>
      <c r="C483" s="13" t="str">
        <f t="shared" si="78"/>
        <v>2025-01</v>
      </c>
      <c r="D483" s="8">
        <v>25</v>
      </c>
      <c r="E483" s="8">
        <v>66</v>
      </c>
      <c r="F483" s="8">
        <v>94</v>
      </c>
      <c r="G483" s="8">
        <v>6405</v>
      </c>
      <c r="H483" s="8">
        <v>144</v>
      </c>
      <c r="I483" s="14">
        <f t="shared" si="79"/>
        <v>6471</v>
      </c>
      <c r="J483" s="14">
        <f t="shared" si="80"/>
        <v>-50</v>
      </c>
      <c r="K483" s="15">
        <f t="shared" si="81"/>
        <v>-1.6844382630196261E-2</v>
      </c>
      <c r="L483" s="16" t="str">
        <f t="shared" si="82"/>
        <v>Invalid</v>
      </c>
      <c r="M483" s="16" t="str">
        <f t="shared" si="83"/>
        <v>Valid</v>
      </c>
      <c r="N483" s="17" t="str">
        <f t="shared" si="84"/>
        <v>Stable/Reducing</v>
      </c>
      <c r="O483" s="16">
        <f t="shared" si="85"/>
        <v>1.5319148936170213</v>
      </c>
      <c r="P483" s="14">
        <f t="shared" si="87"/>
        <v>5953.8571428571431</v>
      </c>
      <c r="Q483" s="16">
        <f t="shared" si="86"/>
        <v>2918.4580782596145</v>
      </c>
    </row>
    <row r="484" spans="1:17" x14ac:dyDescent="0.3">
      <c r="A484" s="13">
        <v>45659</v>
      </c>
      <c r="B484" s="13" t="str">
        <f t="shared" si="77"/>
        <v>January</v>
      </c>
      <c r="C484" s="13" t="str">
        <f t="shared" si="78"/>
        <v>2025-01</v>
      </c>
      <c r="D484" s="8">
        <v>35</v>
      </c>
      <c r="E484" s="8">
        <v>70</v>
      </c>
      <c r="F484" s="8">
        <v>53</v>
      </c>
      <c r="G484" s="8">
        <v>6292</v>
      </c>
      <c r="H484" s="8">
        <v>170</v>
      </c>
      <c r="I484" s="14">
        <f t="shared" si="79"/>
        <v>6362</v>
      </c>
      <c r="J484" s="14">
        <f t="shared" si="80"/>
        <v>-117</v>
      </c>
      <c r="K484" s="15">
        <f t="shared" si="81"/>
        <v>-6.3973593209682489E-2</v>
      </c>
      <c r="L484" s="16" t="str">
        <f t="shared" si="82"/>
        <v>Valid</v>
      </c>
      <c r="M484" s="16" t="str">
        <f t="shared" si="83"/>
        <v>Valid</v>
      </c>
      <c r="N484" s="17" t="str">
        <f t="shared" si="84"/>
        <v>Stable/Reducing</v>
      </c>
      <c r="O484" s="16">
        <f t="shared" si="85"/>
        <v>3.2075471698113209</v>
      </c>
      <c r="P484" s="14">
        <f t="shared" si="87"/>
        <v>5771.5714285714284</v>
      </c>
      <c r="Q484" s="16">
        <f t="shared" si="86"/>
        <v>2918.4580782596145</v>
      </c>
    </row>
    <row r="485" spans="1:17" x14ac:dyDescent="0.3">
      <c r="A485" s="13">
        <v>45662</v>
      </c>
      <c r="B485" s="13" t="str">
        <f t="shared" si="77"/>
        <v>January</v>
      </c>
      <c r="C485" s="13" t="str">
        <f t="shared" si="78"/>
        <v>2025-01</v>
      </c>
      <c r="D485" s="8">
        <v>43</v>
      </c>
      <c r="E485" s="8">
        <v>73</v>
      </c>
      <c r="F485" s="8">
        <v>64</v>
      </c>
      <c r="G485" s="8">
        <v>5882</v>
      </c>
      <c r="H485" s="8">
        <v>185</v>
      </c>
      <c r="I485" s="14">
        <f t="shared" si="79"/>
        <v>5955</v>
      </c>
      <c r="J485" s="14">
        <f t="shared" si="80"/>
        <v>-121</v>
      </c>
      <c r="K485" s="15">
        <f t="shared" si="81"/>
        <v>-2.1158690176322419E-2</v>
      </c>
      <c r="L485" s="16" t="str">
        <f t="shared" si="82"/>
        <v>Valid</v>
      </c>
      <c r="M485" s="16" t="str">
        <f t="shared" si="83"/>
        <v>Valid</v>
      </c>
      <c r="N485" s="17" t="str">
        <f t="shared" si="84"/>
        <v>Stable/Reducing</v>
      </c>
      <c r="O485" s="16">
        <f t="shared" si="85"/>
        <v>2.890625</v>
      </c>
      <c r="P485" s="14">
        <f t="shared" si="87"/>
        <v>5595</v>
      </c>
      <c r="Q485" s="16">
        <f t="shared" si="86"/>
        <v>2918.4580782596145</v>
      </c>
    </row>
    <row r="486" spans="1:17" x14ac:dyDescent="0.3">
      <c r="A486" s="13">
        <v>45663</v>
      </c>
      <c r="B486" s="13" t="str">
        <f t="shared" si="77"/>
        <v>January</v>
      </c>
      <c r="C486" s="13" t="str">
        <f t="shared" si="78"/>
        <v>2025-01</v>
      </c>
      <c r="D486" s="8">
        <v>41</v>
      </c>
      <c r="E486" s="8">
        <v>60</v>
      </c>
      <c r="F486" s="8">
        <v>71</v>
      </c>
      <c r="G486" s="8">
        <v>5769</v>
      </c>
      <c r="H486" s="8">
        <v>190</v>
      </c>
      <c r="I486" s="14">
        <f t="shared" si="79"/>
        <v>5829</v>
      </c>
      <c r="J486" s="14">
        <f t="shared" si="80"/>
        <v>-119</v>
      </c>
      <c r="K486" s="15">
        <f t="shared" si="81"/>
        <v>-7.3769085606450509E-3</v>
      </c>
      <c r="L486" s="16" t="str">
        <f t="shared" si="82"/>
        <v>Invalid</v>
      </c>
      <c r="M486" s="16" t="str">
        <f t="shared" si="83"/>
        <v>Valid</v>
      </c>
      <c r="N486" s="17" t="str">
        <f t="shared" si="84"/>
        <v>Stable/Reducing</v>
      </c>
      <c r="O486" s="16">
        <f t="shared" si="85"/>
        <v>2.676056338028169</v>
      </c>
      <c r="P486" s="14">
        <f t="shared" si="87"/>
        <v>5470.1428571428569</v>
      </c>
      <c r="Q486" s="16">
        <f t="shared" si="86"/>
        <v>2918.4580782596145</v>
      </c>
    </row>
    <row r="487" spans="1:17" x14ac:dyDescent="0.3">
      <c r="A487" s="13">
        <v>45664</v>
      </c>
      <c r="B487" s="13" t="str">
        <f t="shared" si="77"/>
        <v>January</v>
      </c>
      <c r="C487" s="13" t="str">
        <f t="shared" si="78"/>
        <v>2025-01</v>
      </c>
      <c r="D487" s="8">
        <v>65</v>
      </c>
      <c r="E487" s="8">
        <v>83</v>
      </c>
      <c r="F487" s="8">
        <v>65</v>
      </c>
      <c r="G487" s="8">
        <v>5703</v>
      </c>
      <c r="H487" s="8">
        <v>133</v>
      </c>
      <c r="I487" s="14">
        <f t="shared" si="79"/>
        <v>5786</v>
      </c>
      <c r="J487" s="14">
        <f t="shared" si="80"/>
        <v>-68</v>
      </c>
      <c r="K487" s="15">
        <f t="shared" si="81"/>
        <v>-1.7455928102315936E-2</v>
      </c>
      <c r="L487" s="16" t="str">
        <f t="shared" si="82"/>
        <v>Valid</v>
      </c>
      <c r="M487" s="16" t="str">
        <f t="shared" si="83"/>
        <v>Valid</v>
      </c>
      <c r="N487" s="17" t="str">
        <f t="shared" si="84"/>
        <v>Stable/Reducing</v>
      </c>
      <c r="O487" s="16">
        <f t="shared" si="85"/>
        <v>2.046153846153846</v>
      </c>
      <c r="P487" s="14">
        <f t="shared" si="87"/>
        <v>5361</v>
      </c>
      <c r="Q487" s="16">
        <f t="shared" si="86"/>
        <v>2918.4580782596145</v>
      </c>
    </row>
    <row r="488" spans="1:17" x14ac:dyDescent="0.3">
      <c r="A488" s="13">
        <v>45665</v>
      </c>
      <c r="B488" s="13" t="str">
        <f t="shared" si="77"/>
        <v>January</v>
      </c>
      <c r="C488" s="13" t="str">
        <f t="shared" si="78"/>
        <v>2025-01</v>
      </c>
      <c r="D488" s="8">
        <v>38</v>
      </c>
      <c r="E488" s="8">
        <v>80</v>
      </c>
      <c r="F488" s="8">
        <v>82</v>
      </c>
      <c r="G488" s="8">
        <v>5605</v>
      </c>
      <c r="H488" s="8">
        <v>184</v>
      </c>
      <c r="I488" s="14">
        <f t="shared" si="79"/>
        <v>5685</v>
      </c>
      <c r="J488" s="14">
        <f t="shared" si="80"/>
        <v>-102</v>
      </c>
      <c r="K488" s="15">
        <f t="shared" si="81"/>
        <v>-1.6886543535620052E-2</v>
      </c>
      <c r="L488" s="16" t="str">
        <f t="shared" si="82"/>
        <v>Invalid</v>
      </c>
      <c r="M488" s="16" t="str">
        <f t="shared" si="83"/>
        <v>Valid</v>
      </c>
      <c r="N488" s="17" t="str">
        <f t="shared" si="84"/>
        <v>Stable/Reducing</v>
      </c>
      <c r="O488" s="16">
        <f t="shared" si="85"/>
        <v>2.2439024390243905</v>
      </c>
      <c r="P488" s="14">
        <f t="shared" si="87"/>
        <v>5259.7142857142853</v>
      </c>
      <c r="Q488" s="16">
        <f t="shared" si="86"/>
        <v>2918.4580782596145</v>
      </c>
    </row>
    <row r="489" spans="1:17" x14ac:dyDescent="0.3">
      <c r="A489" s="13">
        <v>45666</v>
      </c>
      <c r="B489" s="13" t="str">
        <f t="shared" si="77"/>
        <v>January</v>
      </c>
      <c r="C489" s="13" t="str">
        <f t="shared" si="78"/>
        <v>2025-01</v>
      </c>
      <c r="D489" s="8">
        <v>56</v>
      </c>
      <c r="E489" s="8">
        <v>82</v>
      </c>
      <c r="F489" s="8">
        <v>68</v>
      </c>
      <c r="G489" s="8">
        <v>5507</v>
      </c>
      <c r="H489" s="8">
        <v>164</v>
      </c>
      <c r="I489" s="14">
        <f t="shared" si="79"/>
        <v>5589</v>
      </c>
      <c r="J489" s="14">
        <f t="shared" si="80"/>
        <v>-96</v>
      </c>
      <c r="K489" s="15">
        <f t="shared" si="81"/>
        <v>-7.0495616389336199E-2</v>
      </c>
      <c r="L489" s="16" t="str">
        <f t="shared" si="82"/>
        <v>Valid</v>
      </c>
      <c r="M489" s="16" t="str">
        <f t="shared" si="83"/>
        <v>Valid</v>
      </c>
      <c r="N489" s="17" t="str">
        <f t="shared" si="84"/>
        <v>Stable/Reducing</v>
      </c>
      <c r="O489" s="16">
        <f t="shared" si="85"/>
        <v>2.4117647058823528</v>
      </c>
      <c r="P489" s="14">
        <f t="shared" si="87"/>
        <v>5130.4285714285716</v>
      </c>
      <c r="Q489" s="16">
        <f t="shared" si="86"/>
        <v>2918.4580782596145</v>
      </c>
    </row>
    <row r="490" spans="1:17" x14ac:dyDescent="0.3">
      <c r="A490" s="13">
        <v>45669</v>
      </c>
      <c r="B490" s="13" t="str">
        <f t="shared" si="77"/>
        <v>January</v>
      </c>
      <c r="C490" s="13" t="str">
        <f t="shared" si="78"/>
        <v>2025-01</v>
      </c>
      <c r="D490" s="8">
        <v>74</v>
      </c>
      <c r="E490" s="8">
        <v>103</v>
      </c>
      <c r="F490" s="8">
        <v>80</v>
      </c>
      <c r="G490" s="8">
        <v>5092</v>
      </c>
      <c r="H490" s="8">
        <v>235</v>
      </c>
      <c r="I490" s="14">
        <f t="shared" si="79"/>
        <v>5195</v>
      </c>
      <c r="J490" s="14">
        <f t="shared" si="80"/>
        <v>-155</v>
      </c>
      <c r="K490" s="15">
        <f t="shared" si="81"/>
        <v>-1.3282001924927815E-2</v>
      </c>
      <c r="L490" s="16" t="str">
        <f t="shared" si="82"/>
        <v>Valid</v>
      </c>
      <c r="M490" s="16" t="str">
        <f t="shared" si="83"/>
        <v>Valid</v>
      </c>
      <c r="N490" s="17" t="str">
        <f t="shared" si="84"/>
        <v>Stable/Reducing</v>
      </c>
      <c r="O490" s="16">
        <f t="shared" si="85"/>
        <v>2.9375</v>
      </c>
      <c r="P490" s="14">
        <f t="shared" si="87"/>
        <v>5011.4285714285716</v>
      </c>
      <c r="Q490" s="16">
        <f t="shared" si="86"/>
        <v>2918.4580782596145</v>
      </c>
    </row>
    <row r="491" spans="1:17" x14ac:dyDescent="0.3">
      <c r="A491" s="13">
        <v>45670</v>
      </c>
      <c r="B491" s="13" t="str">
        <f t="shared" si="77"/>
        <v>January</v>
      </c>
      <c r="C491" s="13" t="str">
        <f t="shared" si="78"/>
        <v>2025-01</v>
      </c>
      <c r="D491" s="8">
        <v>68</v>
      </c>
      <c r="E491" s="8">
        <v>107</v>
      </c>
      <c r="F491" s="8">
        <v>102</v>
      </c>
      <c r="G491" s="8">
        <v>5019</v>
      </c>
      <c r="H491" s="8">
        <v>181</v>
      </c>
      <c r="I491" s="14">
        <f t="shared" si="79"/>
        <v>5126</v>
      </c>
      <c r="J491" s="14">
        <f t="shared" si="80"/>
        <v>-79</v>
      </c>
      <c r="K491" s="15">
        <f t="shared" si="81"/>
        <v>-8.7787748731954739E-3</v>
      </c>
      <c r="L491" s="16" t="str">
        <f t="shared" si="82"/>
        <v>Valid</v>
      </c>
      <c r="M491" s="16" t="str">
        <f t="shared" si="83"/>
        <v>Valid</v>
      </c>
      <c r="N491" s="17" t="str">
        <f t="shared" si="84"/>
        <v>Stable/Reducing</v>
      </c>
      <c r="O491" s="16">
        <f t="shared" si="85"/>
        <v>1.7745098039215685</v>
      </c>
      <c r="P491" s="14">
        <f t="shared" si="87"/>
        <v>4953.8571428571431</v>
      </c>
      <c r="Q491" s="16">
        <f t="shared" si="86"/>
        <v>2918.4580782596145</v>
      </c>
    </row>
    <row r="492" spans="1:17" x14ac:dyDescent="0.3">
      <c r="A492" s="13">
        <v>45671</v>
      </c>
      <c r="B492" s="13" t="str">
        <f t="shared" si="77"/>
        <v>January</v>
      </c>
      <c r="C492" s="13" t="str">
        <f t="shared" si="78"/>
        <v>2025-01</v>
      </c>
      <c r="D492" s="8">
        <v>92</v>
      </c>
      <c r="E492" s="8">
        <v>124</v>
      </c>
      <c r="F492" s="8">
        <v>93</v>
      </c>
      <c r="G492" s="8">
        <v>4957</v>
      </c>
      <c r="H492" s="8">
        <v>139</v>
      </c>
      <c r="I492" s="14">
        <f t="shared" si="79"/>
        <v>5081</v>
      </c>
      <c r="J492" s="14">
        <f t="shared" si="80"/>
        <v>-46</v>
      </c>
      <c r="K492" s="15">
        <f t="shared" si="81"/>
        <v>-3.1489864199960639E-3</v>
      </c>
      <c r="L492" s="16" t="str">
        <f t="shared" si="82"/>
        <v>Valid</v>
      </c>
      <c r="M492" s="16" t="str">
        <f t="shared" si="83"/>
        <v>Valid</v>
      </c>
      <c r="N492" s="17" t="str">
        <f t="shared" si="84"/>
        <v>Stable/Reducing</v>
      </c>
      <c r="O492" s="16">
        <f t="shared" si="85"/>
        <v>1.4946236559139785</v>
      </c>
      <c r="P492" s="14">
        <f t="shared" si="87"/>
        <v>4909.2857142857147</v>
      </c>
      <c r="Q492" s="16">
        <f t="shared" si="86"/>
        <v>2918.4580782596145</v>
      </c>
    </row>
    <row r="493" spans="1:17" x14ac:dyDescent="0.3">
      <c r="A493" s="13">
        <v>45672</v>
      </c>
      <c r="B493" s="13" t="str">
        <f t="shared" si="77"/>
        <v>January</v>
      </c>
      <c r="C493" s="13" t="str">
        <f t="shared" si="78"/>
        <v>2025-01</v>
      </c>
      <c r="D493" s="8">
        <v>113</v>
      </c>
      <c r="E493" s="8">
        <v>162</v>
      </c>
      <c r="F493" s="8">
        <v>107</v>
      </c>
      <c r="G493" s="8">
        <v>4903</v>
      </c>
      <c r="H493" s="8">
        <v>164</v>
      </c>
      <c r="I493" s="14">
        <f t="shared" si="79"/>
        <v>5065</v>
      </c>
      <c r="J493" s="14">
        <f t="shared" si="80"/>
        <v>-57</v>
      </c>
      <c r="K493" s="15">
        <f t="shared" si="81"/>
        <v>2.3692003948667323E-3</v>
      </c>
      <c r="L493" s="16" t="str">
        <f t="shared" si="82"/>
        <v>Valid</v>
      </c>
      <c r="M493" s="16" t="str">
        <f t="shared" si="83"/>
        <v>Valid</v>
      </c>
      <c r="N493" s="17" t="str">
        <f t="shared" si="84"/>
        <v>Stable/Reducing</v>
      </c>
      <c r="O493" s="16">
        <f t="shared" si="85"/>
        <v>1.5327102803738317</v>
      </c>
      <c r="P493" s="14">
        <f t="shared" si="87"/>
        <v>4854.2857142857147</v>
      </c>
      <c r="Q493" s="16">
        <f t="shared" si="86"/>
        <v>2918.4580782596145</v>
      </c>
    </row>
    <row r="494" spans="1:17" x14ac:dyDescent="0.3">
      <c r="A494" s="13">
        <v>45673</v>
      </c>
      <c r="B494" s="13" t="str">
        <f t="shared" si="77"/>
        <v>January</v>
      </c>
      <c r="C494" s="13" t="str">
        <f t="shared" si="78"/>
        <v>2025-01</v>
      </c>
      <c r="D494" s="8">
        <v>106</v>
      </c>
      <c r="E494" s="8">
        <v>196</v>
      </c>
      <c r="F494" s="8">
        <v>131</v>
      </c>
      <c r="G494" s="8">
        <v>4881</v>
      </c>
      <c r="H494" s="8">
        <v>159</v>
      </c>
      <c r="I494" s="14">
        <f t="shared" si="79"/>
        <v>5077</v>
      </c>
      <c r="J494" s="14">
        <f t="shared" si="80"/>
        <v>-28</v>
      </c>
      <c r="K494" s="15">
        <f t="shared" si="81"/>
        <v>-5.8499113649793183E-2</v>
      </c>
      <c r="L494" s="16" t="str">
        <f t="shared" si="82"/>
        <v>Valid</v>
      </c>
      <c r="M494" s="16" t="str">
        <f t="shared" si="83"/>
        <v>Valid</v>
      </c>
      <c r="N494" s="17" t="str">
        <f t="shared" si="84"/>
        <v>Stable/Reducing</v>
      </c>
      <c r="O494" s="16">
        <f t="shared" si="85"/>
        <v>1.2137404580152671</v>
      </c>
      <c r="P494" s="14">
        <f t="shared" si="87"/>
        <v>4743.8571428571431</v>
      </c>
      <c r="Q494" s="16">
        <f t="shared" si="86"/>
        <v>2918.4580782596145</v>
      </c>
    </row>
    <row r="495" spans="1:17" x14ac:dyDescent="0.3">
      <c r="A495" s="13">
        <v>45676</v>
      </c>
      <c r="B495" s="13" t="str">
        <f t="shared" si="77"/>
        <v>January</v>
      </c>
      <c r="C495" s="13" t="str">
        <f t="shared" si="78"/>
        <v>2025-01</v>
      </c>
      <c r="D495" s="8">
        <v>86</v>
      </c>
      <c r="E495" s="8">
        <v>152</v>
      </c>
      <c r="F495" s="8">
        <v>168</v>
      </c>
      <c r="G495" s="8">
        <v>4628</v>
      </c>
      <c r="H495" s="8">
        <v>176</v>
      </c>
      <c r="I495" s="14">
        <f t="shared" si="79"/>
        <v>4780</v>
      </c>
      <c r="J495" s="14">
        <f t="shared" si="80"/>
        <v>-8</v>
      </c>
      <c r="K495" s="15">
        <f t="shared" si="81"/>
        <v>-5.0209205020920501E-3</v>
      </c>
      <c r="L495" s="16" t="str">
        <f t="shared" si="82"/>
        <v>Invalid</v>
      </c>
      <c r="M495" s="16" t="str">
        <f t="shared" si="83"/>
        <v>Valid</v>
      </c>
      <c r="N495" s="17" t="str">
        <f t="shared" si="84"/>
        <v>Stable/Reducing</v>
      </c>
      <c r="O495" s="16">
        <f t="shared" si="85"/>
        <v>1.0476190476190477</v>
      </c>
      <c r="P495" s="14">
        <f t="shared" si="87"/>
        <v>4620.5714285714284</v>
      </c>
      <c r="Q495" s="16">
        <f t="shared" si="86"/>
        <v>2918.4580782596145</v>
      </c>
    </row>
    <row r="496" spans="1:17" x14ac:dyDescent="0.3">
      <c r="A496" s="13">
        <v>45677</v>
      </c>
      <c r="B496" s="13" t="str">
        <f t="shared" si="77"/>
        <v>January</v>
      </c>
      <c r="C496" s="13" t="str">
        <f t="shared" si="78"/>
        <v>2025-01</v>
      </c>
      <c r="D496" s="8">
        <v>84</v>
      </c>
      <c r="E496" s="8">
        <v>118</v>
      </c>
      <c r="F496" s="8">
        <v>136</v>
      </c>
      <c r="G496" s="8">
        <v>4638</v>
      </c>
      <c r="H496" s="8">
        <v>127</v>
      </c>
      <c r="I496" s="14">
        <f t="shared" si="79"/>
        <v>4756</v>
      </c>
      <c r="J496" s="14">
        <f t="shared" si="80"/>
        <v>9</v>
      </c>
      <c r="K496" s="15">
        <f t="shared" si="81"/>
        <v>7.569386038687973E-3</v>
      </c>
      <c r="L496" s="16" t="str">
        <f t="shared" si="82"/>
        <v>Invalid</v>
      </c>
      <c r="M496" s="16" t="str">
        <f t="shared" si="83"/>
        <v>Valid</v>
      </c>
      <c r="N496" s="17" t="str">
        <f t="shared" si="84"/>
        <v>Increasing Pressure</v>
      </c>
      <c r="O496" s="16">
        <f t="shared" si="85"/>
        <v>0.93382352941176472</v>
      </c>
      <c r="P496" s="14">
        <f t="shared" si="87"/>
        <v>4529.8571428571431</v>
      </c>
      <c r="Q496" s="16">
        <f t="shared" si="86"/>
        <v>2918.4580782596145</v>
      </c>
    </row>
    <row r="497" spans="1:17" x14ac:dyDescent="0.3">
      <c r="A497" s="13">
        <v>45678</v>
      </c>
      <c r="B497" s="13" t="str">
        <f t="shared" si="77"/>
        <v>January</v>
      </c>
      <c r="C497" s="13" t="str">
        <f t="shared" si="78"/>
        <v>2025-01</v>
      </c>
      <c r="D497" s="8">
        <v>59</v>
      </c>
      <c r="E497" s="8">
        <v>64</v>
      </c>
      <c r="F497" s="8">
        <v>117</v>
      </c>
      <c r="G497" s="8">
        <v>4728</v>
      </c>
      <c r="H497" s="8">
        <v>54</v>
      </c>
      <c r="I497" s="14">
        <f t="shared" si="79"/>
        <v>4792</v>
      </c>
      <c r="J497" s="14">
        <f t="shared" si="80"/>
        <v>63</v>
      </c>
      <c r="K497" s="15">
        <f t="shared" si="81"/>
        <v>4.5909849749582636E-3</v>
      </c>
      <c r="L497" s="16" t="str">
        <f t="shared" si="82"/>
        <v>Invalid</v>
      </c>
      <c r="M497" s="16" t="str">
        <f t="shared" si="83"/>
        <v>Valid</v>
      </c>
      <c r="N497" s="17" t="str">
        <f t="shared" si="84"/>
        <v>Increasing Pressure</v>
      </c>
      <c r="O497" s="16">
        <f t="shared" si="85"/>
        <v>0.46153846153846156</v>
      </c>
      <c r="P497" s="14">
        <f t="shared" si="87"/>
        <v>4434.1428571428569</v>
      </c>
      <c r="Q497" s="16">
        <f t="shared" si="86"/>
        <v>2918.4580782596145</v>
      </c>
    </row>
    <row r="498" spans="1:17" x14ac:dyDescent="0.3">
      <c r="A498" s="13">
        <v>45679</v>
      </c>
      <c r="B498" s="13" t="str">
        <f t="shared" si="77"/>
        <v>January</v>
      </c>
      <c r="C498" s="13" t="str">
        <f t="shared" si="78"/>
        <v>2025-01</v>
      </c>
      <c r="D498" s="8">
        <v>62</v>
      </c>
      <c r="E498" s="8">
        <v>97</v>
      </c>
      <c r="F498" s="8">
        <v>52</v>
      </c>
      <c r="G498" s="8">
        <v>4717</v>
      </c>
      <c r="H498" s="8">
        <v>83</v>
      </c>
      <c r="I498" s="14">
        <f t="shared" si="79"/>
        <v>4814</v>
      </c>
      <c r="J498" s="14">
        <f t="shared" si="80"/>
        <v>-31</v>
      </c>
      <c r="K498" s="15">
        <f t="shared" si="81"/>
        <v>-2.4511840465309513E-2</v>
      </c>
      <c r="L498" s="16" t="str">
        <f t="shared" si="82"/>
        <v>Valid</v>
      </c>
      <c r="M498" s="16" t="str">
        <f t="shared" si="83"/>
        <v>Valid</v>
      </c>
      <c r="N498" s="17" t="str">
        <f t="shared" si="84"/>
        <v>Stable/Reducing</v>
      </c>
      <c r="O498" s="16">
        <f t="shared" si="85"/>
        <v>1.5961538461538463</v>
      </c>
      <c r="P498" s="14">
        <f t="shared" si="87"/>
        <v>4316</v>
      </c>
      <c r="Q498" s="16">
        <f t="shared" si="86"/>
        <v>2918.4580782596145</v>
      </c>
    </row>
    <row r="499" spans="1:17" x14ac:dyDescent="0.3">
      <c r="A499" s="13">
        <v>45680</v>
      </c>
      <c r="B499" s="13" t="str">
        <f t="shared" si="77"/>
        <v>January</v>
      </c>
      <c r="C499" s="13" t="str">
        <f t="shared" si="78"/>
        <v>2025-01</v>
      </c>
      <c r="D499" s="8">
        <v>91</v>
      </c>
      <c r="E499" s="8">
        <v>75</v>
      </c>
      <c r="F499" s="8">
        <v>97</v>
      </c>
      <c r="G499" s="8">
        <v>4621</v>
      </c>
      <c r="H499" s="8">
        <v>174</v>
      </c>
      <c r="I499" s="14">
        <f t="shared" si="79"/>
        <v>4696</v>
      </c>
      <c r="J499" s="14">
        <f t="shared" si="80"/>
        <v>-77</v>
      </c>
      <c r="K499" s="15">
        <f t="shared" si="81"/>
        <v>-8.603066439522998E-2</v>
      </c>
      <c r="L499" s="16" t="str">
        <f t="shared" si="82"/>
        <v>Invalid</v>
      </c>
      <c r="M499" s="16" t="str">
        <f t="shared" si="83"/>
        <v>Valid</v>
      </c>
      <c r="N499" s="17" t="str">
        <f t="shared" si="84"/>
        <v>Stable/Reducing</v>
      </c>
      <c r="O499" s="16">
        <f t="shared" si="85"/>
        <v>1.7938144329896908</v>
      </c>
      <c r="P499" s="14">
        <f t="shared" si="87"/>
        <v>4129</v>
      </c>
      <c r="Q499" s="16">
        <f t="shared" si="86"/>
        <v>2918.4580782596145</v>
      </c>
    </row>
    <row r="500" spans="1:17" x14ac:dyDescent="0.3">
      <c r="A500" s="13">
        <v>45683</v>
      </c>
      <c r="B500" s="13" t="str">
        <f t="shared" si="77"/>
        <v>January</v>
      </c>
      <c r="C500" s="13" t="str">
        <f t="shared" si="78"/>
        <v>2025-01</v>
      </c>
      <c r="D500" s="8">
        <v>29</v>
      </c>
      <c r="E500" s="8">
        <v>51</v>
      </c>
      <c r="F500" s="8">
        <v>11</v>
      </c>
      <c r="G500" s="8">
        <v>4241</v>
      </c>
      <c r="H500" s="8">
        <v>182</v>
      </c>
      <c r="I500" s="14">
        <f t="shared" si="79"/>
        <v>4292</v>
      </c>
      <c r="J500" s="14">
        <f t="shared" si="80"/>
        <v>-171</v>
      </c>
      <c r="K500" s="15">
        <f t="shared" si="81"/>
        <v>-1.8173345759552657E-2</v>
      </c>
      <c r="L500" s="16" t="str">
        <f t="shared" si="82"/>
        <v>Valid</v>
      </c>
      <c r="M500" s="16" t="str">
        <f t="shared" si="83"/>
        <v>Valid</v>
      </c>
      <c r="N500" s="17" t="str">
        <f t="shared" si="84"/>
        <v>Stable/Reducing</v>
      </c>
      <c r="O500" s="16">
        <f t="shared" si="85"/>
        <v>16.545454545454547</v>
      </c>
      <c r="P500" s="14">
        <f t="shared" si="87"/>
        <v>3950.7142857142858</v>
      </c>
      <c r="Q500" s="16">
        <f t="shared" si="86"/>
        <v>2918.4580782596145</v>
      </c>
    </row>
    <row r="501" spans="1:17" x14ac:dyDescent="0.3">
      <c r="A501" s="13">
        <v>45684</v>
      </c>
      <c r="B501" s="13" t="str">
        <f t="shared" si="77"/>
        <v>January</v>
      </c>
      <c r="C501" s="13" t="str">
        <f t="shared" si="78"/>
        <v>2025-01</v>
      </c>
      <c r="D501" s="8">
        <v>33</v>
      </c>
      <c r="E501" s="8">
        <v>53</v>
      </c>
      <c r="F501" s="8">
        <v>34</v>
      </c>
      <c r="G501" s="8">
        <v>4161</v>
      </c>
      <c r="H501" s="8">
        <v>127</v>
      </c>
      <c r="I501" s="14">
        <f t="shared" si="79"/>
        <v>4214</v>
      </c>
      <c r="J501" s="14">
        <f t="shared" si="80"/>
        <v>-93</v>
      </c>
      <c r="K501" s="15">
        <f t="shared" si="81"/>
        <v>-1.6373991457047935E-2</v>
      </c>
      <c r="L501" s="16" t="str">
        <f t="shared" si="82"/>
        <v>Valid</v>
      </c>
      <c r="M501" s="16" t="str">
        <f t="shared" si="83"/>
        <v>Valid</v>
      </c>
      <c r="N501" s="17" t="str">
        <f t="shared" si="84"/>
        <v>Stable/Reducing</v>
      </c>
      <c r="O501" s="16">
        <f t="shared" si="85"/>
        <v>3.7352941176470589</v>
      </c>
      <c r="P501" s="14">
        <f t="shared" si="87"/>
        <v>3825.1428571428573</v>
      </c>
      <c r="Q501" s="16">
        <f t="shared" si="86"/>
        <v>2918.4580782596145</v>
      </c>
    </row>
    <row r="502" spans="1:17" x14ac:dyDescent="0.3">
      <c r="A502" s="13">
        <v>45685</v>
      </c>
      <c r="B502" s="13" t="str">
        <f t="shared" si="77"/>
        <v>January</v>
      </c>
      <c r="C502" s="13" t="str">
        <f t="shared" si="78"/>
        <v>2025-01</v>
      </c>
      <c r="D502" s="8">
        <v>32</v>
      </c>
      <c r="E502" s="8">
        <v>49</v>
      </c>
      <c r="F502" s="8">
        <v>39</v>
      </c>
      <c r="G502" s="8">
        <v>4096</v>
      </c>
      <c r="H502" s="8">
        <v>101</v>
      </c>
      <c r="I502" s="14">
        <f t="shared" si="79"/>
        <v>4145</v>
      </c>
      <c r="J502" s="14">
        <f t="shared" si="80"/>
        <v>-62</v>
      </c>
      <c r="K502" s="15">
        <f t="shared" si="81"/>
        <v>-1.4234016887816647E-2</v>
      </c>
      <c r="L502" s="16" t="str">
        <f t="shared" si="82"/>
        <v>Valid</v>
      </c>
      <c r="M502" s="16" t="str">
        <f t="shared" si="83"/>
        <v>Valid</v>
      </c>
      <c r="N502" s="17" t="str">
        <f t="shared" si="84"/>
        <v>Stable/Reducing</v>
      </c>
      <c r="O502" s="16">
        <f t="shared" si="85"/>
        <v>2.5897435897435899</v>
      </c>
      <c r="P502" s="14">
        <f t="shared" si="87"/>
        <v>3698.2857142857142</v>
      </c>
      <c r="Q502" s="16">
        <f t="shared" si="86"/>
        <v>2918.4580782596145</v>
      </c>
    </row>
    <row r="503" spans="1:17" x14ac:dyDescent="0.3">
      <c r="A503" s="13">
        <v>45686</v>
      </c>
      <c r="B503" s="13" t="str">
        <f t="shared" si="77"/>
        <v>January</v>
      </c>
      <c r="C503" s="13" t="str">
        <f t="shared" si="78"/>
        <v>2025-01</v>
      </c>
      <c r="D503" s="8">
        <v>32</v>
      </c>
      <c r="E503" s="8">
        <v>50</v>
      </c>
      <c r="F503" s="8">
        <v>39</v>
      </c>
      <c r="G503" s="8">
        <v>4036</v>
      </c>
      <c r="H503" s="8">
        <v>99</v>
      </c>
      <c r="I503" s="14">
        <f t="shared" si="79"/>
        <v>4086</v>
      </c>
      <c r="J503" s="14">
        <f t="shared" si="80"/>
        <v>-60</v>
      </c>
      <c r="K503" s="15">
        <f t="shared" si="81"/>
        <v>-2.9613313754282916E-2</v>
      </c>
      <c r="L503" s="16" t="str">
        <f t="shared" si="82"/>
        <v>Valid</v>
      </c>
      <c r="M503" s="16" t="str">
        <f t="shared" si="83"/>
        <v>Valid</v>
      </c>
      <c r="N503" s="17" t="str">
        <f t="shared" si="84"/>
        <v>Stable/Reducing</v>
      </c>
      <c r="O503" s="16">
        <f t="shared" si="85"/>
        <v>2.5384615384615383</v>
      </c>
      <c r="P503" s="14">
        <f t="shared" si="87"/>
        <v>3565.1428571428573</v>
      </c>
      <c r="Q503" s="16">
        <f t="shared" si="86"/>
        <v>2918.4580782596145</v>
      </c>
    </row>
    <row r="504" spans="1:17" x14ac:dyDescent="0.3">
      <c r="A504" s="13">
        <v>45687</v>
      </c>
      <c r="B504" s="13" t="str">
        <f t="shared" si="77"/>
        <v>January</v>
      </c>
      <c r="C504" s="13" t="str">
        <f t="shared" si="78"/>
        <v>2025-01</v>
      </c>
      <c r="D504" s="8">
        <v>47</v>
      </c>
      <c r="E504" s="8">
        <v>42</v>
      </c>
      <c r="F504" s="8">
        <v>47</v>
      </c>
      <c r="G504" s="8">
        <v>3923</v>
      </c>
      <c r="H504" s="8">
        <v>159</v>
      </c>
      <c r="I504" s="14">
        <f t="shared" si="79"/>
        <v>3965</v>
      </c>
      <c r="J504" s="14">
        <f t="shared" si="80"/>
        <v>-112</v>
      </c>
      <c r="K504" s="15">
        <f t="shared" si="81"/>
        <v>-0.11601513240857503</v>
      </c>
      <c r="L504" s="16" t="str">
        <f t="shared" si="82"/>
        <v>Invalid</v>
      </c>
      <c r="M504" s="16" t="str">
        <f t="shared" si="83"/>
        <v>Valid</v>
      </c>
      <c r="N504" s="17" t="str">
        <f t="shared" si="84"/>
        <v>Stable/Reducing</v>
      </c>
      <c r="O504" s="16">
        <f t="shared" si="85"/>
        <v>3.3829787234042552</v>
      </c>
      <c r="P504" s="14">
        <f t="shared" si="87"/>
        <v>3394.4285714285716</v>
      </c>
      <c r="Q504" s="16">
        <f t="shared" si="86"/>
        <v>2918.4580782596145</v>
      </c>
    </row>
    <row r="505" spans="1:17" x14ac:dyDescent="0.3">
      <c r="A505" s="13">
        <v>45690</v>
      </c>
      <c r="B505" s="13" t="str">
        <f t="shared" si="77"/>
        <v>February</v>
      </c>
      <c r="C505" s="13" t="str">
        <f t="shared" si="78"/>
        <v>2025-02</v>
      </c>
      <c r="D505" s="8">
        <v>20</v>
      </c>
      <c r="E505" s="8">
        <v>22</v>
      </c>
      <c r="F505" s="8">
        <v>41</v>
      </c>
      <c r="G505" s="8">
        <v>3483</v>
      </c>
      <c r="H505" s="8">
        <v>168</v>
      </c>
      <c r="I505" s="14">
        <f t="shared" si="79"/>
        <v>3505</v>
      </c>
      <c r="J505" s="14">
        <f t="shared" si="80"/>
        <v>-127</v>
      </c>
      <c r="K505" s="15">
        <f t="shared" si="81"/>
        <v>-1.6262482168330955E-2</v>
      </c>
      <c r="L505" s="16" t="str">
        <f t="shared" si="82"/>
        <v>Invalid</v>
      </c>
      <c r="M505" s="16" t="str">
        <f t="shared" si="83"/>
        <v>Valid</v>
      </c>
      <c r="N505" s="17" t="str">
        <f t="shared" si="84"/>
        <v>Stable/Reducing</v>
      </c>
      <c r="O505" s="16">
        <f t="shared" si="85"/>
        <v>4.0975609756097562</v>
      </c>
      <c r="P505" s="14">
        <f t="shared" si="87"/>
        <v>3235.4285714285716</v>
      </c>
      <c r="Q505" s="16">
        <f t="shared" si="86"/>
        <v>2918.4580782596145</v>
      </c>
    </row>
    <row r="506" spans="1:17" x14ac:dyDescent="0.3">
      <c r="A506" s="13">
        <v>45691</v>
      </c>
      <c r="B506" s="13" t="str">
        <f t="shared" si="77"/>
        <v>February</v>
      </c>
      <c r="C506" s="13" t="str">
        <f t="shared" si="78"/>
        <v>2025-02</v>
      </c>
      <c r="D506" s="8">
        <v>23</v>
      </c>
      <c r="E506" s="8">
        <v>45</v>
      </c>
      <c r="F506" s="8">
        <v>11</v>
      </c>
      <c r="G506" s="8">
        <v>3403</v>
      </c>
      <c r="H506" s="8">
        <v>102</v>
      </c>
      <c r="I506" s="14">
        <f t="shared" si="79"/>
        <v>3448</v>
      </c>
      <c r="J506" s="14">
        <f t="shared" si="80"/>
        <v>-91</v>
      </c>
      <c r="K506" s="15">
        <f t="shared" si="81"/>
        <v>-1.0150812064965197E-2</v>
      </c>
      <c r="L506" s="16" t="str">
        <f t="shared" si="82"/>
        <v>Valid</v>
      </c>
      <c r="M506" s="16" t="str">
        <f t="shared" si="83"/>
        <v>Valid</v>
      </c>
      <c r="N506" s="17" t="str">
        <f t="shared" si="84"/>
        <v>Stable/Reducing</v>
      </c>
      <c r="O506" s="16">
        <f t="shared" si="85"/>
        <v>9.2727272727272734</v>
      </c>
      <c r="P506" s="14">
        <f t="shared" si="87"/>
        <v>3137.7142857142858</v>
      </c>
      <c r="Q506" s="16">
        <f t="shared" si="86"/>
        <v>2918.4580782596145</v>
      </c>
    </row>
    <row r="507" spans="1:17" x14ac:dyDescent="0.3">
      <c r="A507" s="13">
        <v>45692</v>
      </c>
      <c r="B507" s="13" t="str">
        <f t="shared" si="77"/>
        <v>February</v>
      </c>
      <c r="C507" s="13" t="str">
        <f t="shared" si="78"/>
        <v>2025-02</v>
      </c>
      <c r="D507" s="8">
        <v>34</v>
      </c>
      <c r="E507" s="8">
        <v>54</v>
      </c>
      <c r="F507" s="8">
        <v>29</v>
      </c>
      <c r="G507" s="8">
        <v>3359</v>
      </c>
      <c r="H507" s="8">
        <v>74</v>
      </c>
      <c r="I507" s="14">
        <f t="shared" si="79"/>
        <v>3413</v>
      </c>
      <c r="J507" s="14">
        <f t="shared" si="80"/>
        <v>-45</v>
      </c>
      <c r="K507" s="15">
        <f t="shared" si="81"/>
        <v>-2.5490770583064752E-2</v>
      </c>
      <c r="L507" s="16" t="str">
        <f t="shared" si="82"/>
        <v>Valid</v>
      </c>
      <c r="M507" s="16" t="str">
        <f t="shared" si="83"/>
        <v>Valid</v>
      </c>
      <c r="N507" s="17" t="str">
        <f t="shared" si="84"/>
        <v>Stable/Reducing</v>
      </c>
      <c r="O507" s="16">
        <f t="shared" si="85"/>
        <v>2.5517241379310347</v>
      </c>
      <c r="P507" s="14">
        <f t="shared" si="87"/>
        <v>3041.1428571428573</v>
      </c>
      <c r="Q507" s="16">
        <f t="shared" si="86"/>
        <v>2918.4580782596145</v>
      </c>
    </row>
    <row r="508" spans="1:17" x14ac:dyDescent="0.3">
      <c r="A508" s="13">
        <v>45693</v>
      </c>
      <c r="B508" s="13" t="str">
        <f t="shared" si="77"/>
        <v>February</v>
      </c>
      <c r="C508" s="13" t="str">
        <f t="shared" si="78"/>
        <v>2025-02</v>
      </c>
      <c r="D508" s="8">
        <v>26</v>
      </c>
      <c r="E508" s="8">
        <v>36</v>
      </c>
      <c r="F508" s="8">
        <v>36</v>
      </c>
      <c r="G508" s="8">
        <v>3290</v>
      </c>
      <c r="H508" s="8">
        <v>104</v>
      </c>
      <c r="I508" s="14">
        <f t="shared" si="79"/>
        <v>3326</v>
      </c>
      <c r="J508" s="14">
        <f t="shared" si="80"/>
        <v>-68</v>
      </c>
      <c r="K508" s="15">
        <f t="shared" si="81"/>
        <v>-3.3974744437763077E-2</v>
      </c>
      <c r="L508" s="16" t="str">
        <f t="shared" si="82"/>
        <v>Valid</v>
      </c>
      <c r="M508" s="16" t="str">
        <f t="shared" si="83"/>
        <v>Valid</v>
      </c>
      <c r="N508" s="17" t="str">
        <f t="shared" si="84"/>
        <v>Stable/Reducing</v>
      </c>
      <c r="O508" s="16">
        <f t="shared" si="85"/>
        <v>2.8888888888888888</v>
      </c>
      <c r="P508" s="14">
        <f t="shared" si="87"/>
        <v>2941.1428571428573</v>
      </c>
      <c r="Q508" s="16">
        <f t="shared" si="86"/>
        <v>2918.4580782596145</v>
      </c>
    </row>
    <row r="509" spans="1:17" x14ac:dyDescent="0.3">
      <c r="A509" s="13">
        <v>45694</v>
      </c>
      <c r="B509" s="13" t="str">
        <f t="shared" si="77"/>
        <v>February</v>
      </c>
      <c r="C509" s="13" t="str">
        <f t="shared" si="78"/>
        <v>2025-02</v>
      </c>
      <c r="D509" s="8">
        <v>25</v>
      </c>
      <c r="E509" s="8">
        <v>32</v>
      </c>
      <c r="F509" s="8">
        <v>27</v>
      </c>
      <c r="G509" s="8">
        <v>3181</v>
      </c>
      <c r="H509" s="8">
        <v>145</v>
      </c>
      <c r="I509" s="14">
        <f t="shared" si="79"/>
        <v>3213</v>
      </c>
      <c r="J509" s="14">
        <f t="shared" si="80"/>
        <v>-118</v>
      </c>
      <c r="K509" s="15">
        <f t="shared" si="81"/>
        <v>-0.10021786492374728</v>
      </c>
      <c r="L509" s="16" t="str">
        <f t="shared" si="82"/>
        <v>Valid</v>
      </c>
      <c r="M509" s="16" t="str">
        <f t="shared" si="83"/>
        <v>Valid</v>
      </c>
      <c r="N509" s="17" t="str">
        <f t="shared" si="84"/>
        <v>Stable/Reducing</v>
      </c>
      <c r="O509" s="16">
        <f t="shared" si="85"/>
        <v>5.3703703703703702</v>
      </c>
      <c r="P509" s="14">
        <f t="shared" si="87"/>
        <v>2830.1428571428573</v>
      </c>
      <c r="Q509" s="16">
        <f t="shared" si="86"/>
        <v>2918.4580782596145</v>
      </c>
    </row>
    <row r="510" spans="1:17" x14ac:dyDescent="0.3">
      <c r="A510" s="13">
        <v>45697</v>
      </c>
      <c r="B510" s="13" t="str">
        <f t="shared" si="77"/>
        <v>February</v>
      </c>
      <c r="C510" s="13" t="str">
        <f t="shared" si="78"/>
        <v>2025-02</v>
      </c>
      <c r="D510" s="8">
        <v>15</v>
      </c>
      <c r="E510" s="8">
        <v>13</v>
      </c>
      <c r="F510" s="8">
        <v>23</v>
      </c>
      <c r="G510" s="8">
        <v>2878</v>
      </c>
      <c r="H510" s="8">
        <v>99</v>
      </c>
      <c r="I510" s="14">
        <f t="shared" si="79"/>
        <v>2891</v>
      </c>
      <c r="J510" s="14">
        <f t="shared" si="80"/>
        <v>-76</v>
      </c>
      <c r="K510" s="15">
        <f t="shared" si="81"/>
        <v>-1.349014181943964E-2</v>
      </c>
      <c r="L510" s="16" t="str">
        <f t="shared" si="82"/>
        <v>Invalid</v>
      </c>
      <c r="M510" s="16" t="str">
        <f t="shared" si="83"/>
        <v>Valid</v>
      </c>
      <c r="N510" s="17" t="str">
        <f t="shared" si="84"/>
        <v>Stable/Reducing</v>
      </c>
      <c r="O510" s="16">
        <f t="shared" si="85"/>
        <v>4.3043478260869561</v>
      </c>
      <c r="P510" s="14">
        <f t="shared" si="87"/>
        <v>2736.1428571428573</v>
      </c>
      <c r="Q510" s="16">
        <f t="shared" si="86"/>
        <v>2918.4580782596145</v>
      </c>
    </row>
    <row r="511" spans="1:17" x14ac:dyDescent="0.3">
      <c r="A511" s="13">
        <v>45698</v>
      </c>
      <c r="B511" s="13" t="str">
        <f t="shared" si="77"/>
        <v>February</v>
      </c>
      <c r="C511" s="13" t="str">
        <f t="shared" si="78"/>
        <v>2025-02</v>
      </c>
      <c r="D511" s="8">
        <v>16</v>
      </c>
      <c r="E511" s="8">
        <v>18</v>
      </c>
      <c r="F511" s="8">
        <v>15</v>
      </c>
      <c r="G511" s="8">
        <v>2834</v>
      </c>
      <c r="H511" s="8">
        <v>63</v>
      </c>
      <c r="I511" s="14">
        <f t="shared" si="79"/>
        <v>2852</v>
      </c>
      <c r="J511" s="14">
        <f t="shared" si="80"/>
        <v>-48</v>
      </c>
      <c r="K511" s="15">
        <f t="shared" si="81"/>
        <v>-1.0869565217391304E-2</v>
      </c>
      <c r="L511" s="16" t="str">
        <f t="shared" si="82"/>
        <v>Valid</v>
      </c>
      <c r="M511" s="16" t="str">
        <f t="shared" si="83"/>
        <v>Valid</v>
      </c>
      <c r="N511" s="17" t="str">
        <f t="shared" si="84"/>
        <v>Stable/Reducing</v>
      </c>
      <c r="O511" s="16">
        <f t="shared" si="85"/>
        <v>4.2</v>
      </c>
      <c r="P511" s="14">
        <f t="shared" si="87"/>
        <v>2686.7142857142858</v>
      </c>
      <c r="Q511" s="16">
        <f t="shared" si="86"/>
        <v>2918.4580782596145</v>
      </c>
    </row>
    <row r="512" spans="1:17" x14ac:dyDescent="0.3">
      <c r="A512" s="13">
        <v>45699</v>
      </c>
      <c r="B512" s="13" t="str">
        <f t="shared" si="77"/>
        <v>February</v>
      </c>
      <c r="C512" s="13" t="str">
        <f t="shared" si="78"/>
        <v>2025-02</v>
      </c>
      <c r="D512" s="8">
        <v>11</v>
      </c>
      <c r="E512" s="8">
        <v>22</v>
      </c>
      <c r="F512" s="8">
        <v>12</v>
      </c>
      <c r="G512" s="8">
        <v>2799</v>
      </c>
      <c r="H512" s="8">
        <v>50</v>
      </c>
      <c r="I512" s="14">
        <f t="shared" si="79"/>
        <v>2821</v>
      </c>
      <c r="J512" s="14">
        <f t="shared" si="80"/>
        <v>-38</v>
      </c>
      <c r="K512" s="15">
        <f t="shared" si="81"/>
        <v>-1.7369727047146403E-2</v>
      </c>
      <c r="L512" s="16" t="str">
        <f t="shared" si="82"/>
        <v>Valid</v>
      </c>
      <c r="M512" s="16" t="str">
        <f t="shared" si="83"/>
        <v>Valid</v>
      </c>
      <c r="N512" s="17" t="str">
        <f t="shared" si="84"/>
        <v>Stable/Reducing</v>
      </c>
      <c r="O512" s="16">
        <f t="shared" si="85"/>
        <v>4.166666666666667</v>
      </c>
      <c r="P512" s="14">
        <f t="shared" si="87"/>
        <v>2642.8571428571427</v>
      </c>
      <c r="Q512" s="16">
        <f t="shared" si="86"/>
        <v>2918.4580782596145</v>
      </c>
    </row>
    <row r="513" spans="1:17" x14ac:dyDescent="0.3">
      <c r="A513" s="13">
        <v>45700</v>
      </c>
      <c r="B513" s="13" t="str">
        <f t="shared" si="77"/>
        <v>February</v>
      </c>
      <c r="C513" s="13" t="str">
        <f t="shared" si="78"/>
        <v>2025-02</v>
      </c>
      <c r="D513" s="8">
        <v>16</v>
      </c>
      <c r="E513" s="8">
        <v>20</v>
      </c>
      <c r="F513" s="8">
        <v>20</v>
      </c>
      <c r="G513" s="8">
        <v>2752</v>
      </c>
      <c r="H513" s="8">
        <v>66</v>
      </c>
      <c r="I513" s="14">
        <f t="shared" si="79"/>
        <v>2772</v>
      </c>
      <c r="J513" s="14">
        <f t="shared" si="80"/>
        <v>-46</v>
      </c>
      <c r="K513" s="15">
        <f t="shared" si="81"/>
        <v>-2.1284271284271284E-2</v>
      </c>
      <c r="L513" s="16" t="str">
        <f t="shared" si="82"/>
        <v>Valid</v>
      </c>
      <c r="M513" s="16" t="str">
        <f t="shared" si="83"/>
        <v>Valid</v>
      </c>
      <c r="N513" s="17" t="str">
        <f t="shared" si="84"/>
        <v>Stable/Reducing</v>
      </c>
      <c r="O513" s="16">
        <f t="shared" si="85"/>
        <v>3.3</v>
      </c>
      <c r="P513" s="14">
        <f t="shared" si="87"/>
        <v>2588.2857142857142</v>
      </c>
      <c r="Q513" s="16">
        <f t="shared" si="86"/>
        <v>2918.4580782596145</v>
      </c>
    </row>
    <row r="514" spans="1:17" x14ac:dyDescent="0.3">
      <c r="A514" s="13">
        <v>45701</v>
      </c>
      <c r="B514" s="13" t="str">
        <f t="shared" ref="B514:B577" si="88">TEXT(A514, "mmmm")</f>
        <v>February</v>
      </c>
      <c r="C514" s="13" t="str">
        <f t="shared" ref="C514:C577" si="89">TEXT(A514, "yyyy-mm")</f>
        <v>2025-02</v>
      </c>
      <c r="D514" s="8">
        <v>15</v>
      </c>
      <c r="E514" s="8">
        <v>10</v>
      </c>
      <c r="F514" s="8">
        <v>23</v>
      </c>
      <c r="G514" s="8">
        <v>2703</v>
      </c>
      <c r="H514" s="8">
        <v>72</v>
      </c>
      <c r="I514" s="14">
        <f t="shared" ref="I514:I577" si="90">SUM(G514+E514)</f>
        <v>2713</v>
      </c>
      <c r="J514" s="14">
        <f t="shared" ref="J514:J577" si="91">F514-H514</f>
        <v>-49</v>
      </c>
      <c r="K514" s="15">
        <f t="shared" ref="K514:K577" si="92">(I515-I514)/I514</f>
        <v>-6.0449686693697012E-2</v>
      </c>
      <c r="L514" s="16" t="str">
        <f t="shared" ref="L514:L577" si="93">IF(F514&lt;=E514, "Valid", "Invalid")</f>
        <v>Invalid</v>
      </c>
      <c r="M514" s="16" t="str">
        <f t="shared" ref="M514:M577" si="94">IF(H514&lt;=G514, "Valid", "Invalid")</f>
        <v>Valid</v>
      </c>
      <c r="N514" s="17" t="str">
        <f t="shared" ref="N514:N577" si="95">IF(J514&gt;0, "Increasing Pressure", "Stable/Reducing")</f>
        <v>Stable/Reducing</v>
      </c>
      <c r="O514" s="16">
        <f t="shared" ref="O514:O577" si="96">IFERROR(H514/F514, 0)</f>
        <v>3.1304347826086958</v>
      </c>
      <c r="P514" s="14">
        <f t="shared" si="87"/>
        <v>2540.1428571428573</v>
      </c>
      <c r="Q514" s="16">
        <f t="shared" ref="Q514:Q577" si="97">_xlfn.STDEV.S(I:I)</f>
        <v>2918.4580782596145</v>
      </c>
    </row>
    <row r="515" spans="1:17" x14ac:dyDescent="0.3">
      <c r="A515" s="13">
        <v>45705</v>
      </c>
      <c r="B515" s="13" t="str">
        <f t="shared" si="88"/>
        <v>February</v>
      </c>
      <c r="C515" s="13" t="str">
        <f t="shared" si="89"/>
        <v>2025-02</v>
      </c>
      <c r="D515" s="8">
        <v>8</v>
      </c>
      <c r="E515" s="8">
        <v>17</v>
      </c>
      <c r="F515" s="8">
        <v>14</v>
      </c>
      <c r="G515" s="8">
        <v>2532</v>
      </c>
      <c r="H515" s="8">
        <v>15</v>
      </c>
      <c r="I515" s="14">
        <f t="shared" si="90"/>
        <v>2549</v>
      </c>
      <c r="J515" s="14">
        <f t="shared" si="91"/>
        <v>-1</v>
      </c>
      <c r="K515" s="15">
        <f t="shared" si="92"/>
        <v>2.3538642604943117E-3</v>
      </c>
      <c r="L515" s="16" t="str">
        <f t="shared" si="93"/>
        <v>Valid</v>
      </c>
      <c r="M515" s="16" t="str">
        <f t="shared" si="94"/>
        <v>Valid</v>
      </c>
      <c r="N515" s="17" t="str">
        <f t="shared" si="95"/>
        <v>Stable/Reducing</v>
      </c>
      <c r="O515" s="16">
        <f t="shared" si="96"/>
        <v>1.0714285714285714</v>
      </c>
      <c r="P515" s="14">
        <f t="shared" ref="P515:P578" si="98">AVERAGE(I515:I521)</f>
        <v>2498.2857142857142</v>
      </c>
      <c r="Q515" s="16">
        <f t="shared" si="97"/>
        <v>2918.4580782596145</v>
      </c>
    </row>
    <row r="516" spans="1:17" x14ac:dyDescent="0.3">
      <c r="A516" s="13">
        <v>45706</v>
      </c>
      <c r="B516" s="13" t="str">
        <f t="shared" si="88"/>
        <v>February</v>
      </c>
      <c r="C516" s="13" t="str">
        <f t="shared" si="89"/>
        <v>2025-02</v>
      </c>
      <c r="D516" s="8">
        <v>18</v>
      </c>
      <c r="E516" s="8">
        <v>19</v>
      </c>
      <c r="F516" s="8">
        <v>11</v>
      </c>
      <c r="G516" s="8">
        <v>2536</v>
      </c>
      <c r="H516" s="8">
        <v>9</v>
      </c>
      <c r="I516" s="14">
        <f t="shared" si="90"/>
        <v>2555</v>
      </c>
      <c r="J516" s="14">
        <f t="shared" si="91"/>
        <v>2</v>
      </c>
      <c r="K516" s="15">
        <f t="shared" si="92"/>
        <v>-3.9138943248532287E-3</v>
      </c>
      <c r="L516" s="16" t="str">
        <f t="shared" si="93"/>
        <v>Valid</v>
      </c>
      <c r="M516" s="16" t="str">
        <f t="shared" si="94"/>
        <v>Valid</v>
      </c>
      <c r="N516" s="17" t="str">
        <f t="shared" si="95"/>
        <v>Increasing Pressure</v>
      </c>
      <c r="O516" s="16">
        <f t="shared" si="96"/>
        <v>0.81818181818181823</v>
      </c>
      <c r="P516" s="14">
        <f t="shared" si="98"/>
        <v>2481.5714285714284</v>
      </c>
      <c r="Q516" s="16">
        <f t="shared" si="97"/>
        <v>2918.4580782596145</v>
      </c>
    </row>
    <row r="517" spans="1:17" x14ac:dyDescent="0.3">
      <c r="A517" s="13">
        <v>45707</v>
      </c>
      <c r="B517" s="13" t="str">
        <f t="shared" si="88"/>
        <v>February</v>
      </c>
      <c r="C517" s="13" t="str">
        <f t="shared" si="89"/>
        <v>2025-02</v>
      </c>
      <c r="D517" s="8">
        <v>12</v>
      </c>
      <c r="E517" s="8">
        <v>17</v>
      </c>
      <c r="F517" s="8">
        <v>17</v>
      </c>
      <c r="G517" s="8">
        <v>2528</v>
      </c>
      <c r="H517" s="8">
        <v>19</v>
      </c>
      <c r="I517" s="14">
        <f t="shared" si="90"/>
        <v>2545</v>
      </c>
      <c r="J517" s="14">
        <f t="shared" si="91"/>
        <v>-2</v>
      </c>
      <c r="K517" s="15">
        <f t="shared" si="92"/>
        <v>0</v>
      </c>
      <c r="L517" s="16" t="str">
        <f t="shared" si="93"/>
        <v>Valid</v>
      </c>
      <c r="M517" s="16" t="str">
        <f t="shared" si="94"/>
        <v>Valid</v>
      </c>
      <c r="N517" s="17" t="str">
        <f t="shared" si="95"/>
        <v>Stable/Reducing</v>
      </c>
      <c r="O517" s="16">
        <f t="shared" si="96"/>
        <v>1.1176470588235294</v>
      </c>
      <c r="P517" s="14">
        <f t="shared" si="98"/>
        <v>2460.2857142857142</v>
      </c>
      <c r="Q517" s="16">
        <f t="shared" si="97"/>
        <v>2918.4580782596145</v>
      </c>
    </row>
    <row r="518" spans="1:17" x14ac:dyDescent="0.3">
      <c r="A518" s="13">
        <v>45708</v>
      </c>
      <c r="B518" s="13" t="str">
        <f t="shared" si="88"/>
        <v>February</v>
      </c>
      <c r="C518" s="13" t="str">
        <f t="shared" si="89"/>
        <v>2025-02</v>
      </c>
      <c r="D518" s="8">
        <v>13</v>
      </c>
      <c r="E518" s="8">
        <v>25</v>
      </c>
      <c r="F518" s="8">
        <v>15</v>
      </c>
      <c r="G518" s="8">
        <v>2520</v>
      </c>
      <c r="H518" s="8">
        <v>32</v>
      </c>
      <c r="I518" s="14">
        <f t="shared" si="90"/>
        <v>2545</v>
      </c>
      <c r="J518" s="14">
        <f t="shared" si="91"/>
        <v>-17</v>
      </c>
      <c r="K518" s="15">
        <f t="shared" si="92"/>
        <v>-4.1650294695481337E-2</v>
      </c>
      <c r="L518" s="16" t="str">
        <f t="shared" si="93"/>
        <v>Valid</v>
      </c>
      <c r="M518" s="16" t="str">
        <f t="shared" si="94"/>
        <v>Valid</v>
      </c>
      <c r="N518" s="17" t="str">
        <f t="shared" si="95"/>
        <v>Stable/Reducing</v>
      </c>
      <c r="O518" s="16">
        <f t="shared" si="96"/>
        <v>2.1333333333333333</v>
      </c>
      <c r="P518" s="14">
        <f t="shared" si="98"/>
        <v>2428.2857142857142</v>
      </c>
      <c r="Q518" s="16">
        <f t="shared" si="97"/>
        <v>2918.4580782596145</v>
      </c>
    </row>
    <row r="519" spans="1:17" x14ac:dyDescent="0.3">
      <c r="A519" s="13">
        <v>45711</v>
      </c>
      <c r="B519" s="13" t="str">
        <f t="shared" si="88"/>
        <v>February</v>
      </c>
      <c r="C519" s="13" t="str">
        <f t="shared" si="89"/>
        <v>2025-02</v>
      </c>
      <c r="D519" s="8">
        <v>7</v>
      </c>
      <c r="E519" s="8">
        <v>16</v>
      </c>
      <c r="F519" s="8">
        <v>8</v>
      </c>
      <c r="G519" s="8">
        <v>2423</v>
      </c>
      <c r="H519" s="8">
        <v>35</v>
      </c>
      <c r="I519" s="14">
        <f t="shared" si="90"/>
        <v>2439</v>
      </c>
      <c r="J519" s="14">
        <f t="shared" si="91"/>
        <v>-27</v>
      </c>
      <c r="K519" s="15">
        <f t="shared" si="92"/>
        <v>-1.6400164001640015E-3</v>
      </c>
      <c r="L519" s="16" t="str">
        <f t="shared" si="93"/>
        <v>Valid</v>
      </c>
      <c r="M519" s="16" t="str">
        <f t="shared" si="94"/>
        <v>Valid</v>
      </c>
      <c r="N519" s="17" t="str">
        <f t="shared" si="95"/>
        <v>Stable/Reducing</v>
      </c>
      <c r="O519" s="16">
        <f t="shared" si="96"/>
        <v>4.375</v>
      </c>
      <c r="P519" s="14">
        <f t="shared" si="98"/>
        <v>2395.5714285714284</v>
      </c>
      <c r="Q519" s="16">
        <f t="shared" si="97"/>
        <v>2918.4580782596145</v>
      </c>
    </row>
    <row r="520" spans="1:17" x14ac:dyDescent="0.3">
      <c r="A520" s="13">
        <v>45712</v>
      </c>
      <c r="B520" s="13" t="str">
        <f t="shared" si="88"/>
        <v>February</v>
      </c>
      <c r="C520" s="13" t="str">
        <f t="shared" si="89"/>
        <v>2025-02</v>
      </c>
      <c r="D520" s="8">
        <v>20</v>
      </c>
      <c r="E520" s="8">
        <v>22</v>
      </c>
      <c r="F520" s="8">
        <v>14</v>
      </c>
      <c r="G520" s="8">
        <v>2413</v>
      </c>
      <c r="H520" s="8">
        <v>24</v>
      </c>
      <c r="I520" s="14">
        <f t="shared" si="90"/>
        <v>2435</v>
      </c>
      <c r="J520" s="14">
        <f t="shared" si="91"/>
        <v>-10</v>
      </c>
      <c r="K520" s="15">
        <f t="shared" si="92"/>
        <v>-6.1601642710472282E-3</v>
      </c>
      <c r="L520" s="16" t="str">
        <f t="shared" si="93"/>
        <v>Valid</v>
      </c>
      <c r="M520" s="16" t="str">
        <f t="shared" si="94"/>
        <v>Valid</v>
      </c>
      <c r="N520" s="17" t="str">
        <f t="shared" si="95"/>
        <v>Stable/Reducing</v>
      </c>
      <c r="O520" s="16">
        <f t="shared" si="96"/>
        <v>1.7142857142857142</v>
      </c>
      <c r="P520" s="14">
        <f t="shared" si="98"/>
        <v>2375.2857142857142</v>
      </c>
      <c r="Q520" s="16">
        <f t="shared" si="97"/>
        <v>2918.4580782596145</v>
      </c>
    </row>
    <row r="521" spans="1:17" x14ac:dyDescent="0.3">
      <c r="A521" s="13">
        <v>45713</v>
      </c>
      <c r="B521" s="13" t="str">
        <f t="shared" si="88"/>
        <v>February</v>
      </c>
      <c r="C521" s="13" t="str">
        <f t="shared" si="89"/>
        <v>2025-02</v>
      </c>
      <c r="D521" s="8">
        <v>11</v>
      </c>
      <c r="E521" s="8">
        <v>7</v>
      </c>
      <c r="F521" s="8">
        <v>7</v>
      </c>
      <c r="G521" s="8">
        <v>2413</v>
      </c>
      <c r="H521" s="8">
        <v>23</v>
      </c>
      <c r="I521" s="14">
        <f t="shared" si="90"/>
        <v>2420</v>
      </c>
      <c r="J521" s="14">
        <f t="shared" si="91"/>
        <v>-16</v>
      </c>
      <c r="K521" s="15">
        <f t="shared" si="92"/>
        <v>4.9586776859504135E-3</v>
      </c>
      <c r="L521" s="16" t="str">
        <f t="shared" si="93"/>
        <v>Valid</v>
      </c>
      <c r="M521" s="16" t="str">
        <f t="shared" si="94"/>
        <v>Valid</v>
      </c>
      <c r="N521" s="17" t="str">
        <f t="shared" si="95"/>
        <v>Stable/Reducing</v>
      </c>
      <c r="O521" s="16">
        <f t="shared" si="96"/>
        <v>3.2857142857142856</v>
      </c>
      <c r="P521" s="14">
        <f t="shared" si="98"/>
        <v>2350</v>
      </c>
      <c r="Q521" s="16">
        <f t="shared" si="97"/>
        <v>2918.4580782596145</v>
      </c>
    </row>
    <row r="522" spans="1:17" x14ac:dyDescent="0.3">
      <c r="A522" s="13">
        <v>45714</v>
      </c>
      <c r="B522" s="13" t="str">
        <f t="shared" si="88"/>
        <v>February</v>
      </c>
      <c r="C522" s="13" t="str">
        <f t="shared" si="89"/>
        <v>2025-02</v>
      </c>
      <c r="D522" s="8">
        <v>12</v>
      </c>
      <c r="E522" s="8">
        <v>21</v>
      </c>
      <c r="F522" s="8">
        <v>1</v>
      </c>
      <c r="G522" s="8">
        <v>2411</v>
      </c>
      <c r="H522" s="8">
        <v>23</v>
      </c>
      <c r="I522" s="14">
        <f t="shared" si="90"/>
        <v>2432</v>
      </c>
      <c r="J522" s="14">
        <f t="shared" si="91"/>
        <v>-22</v>
      </c>
      <c r="K522" s="15">
        <f t="shared" si="92"/>
        <v>-1.0690789473684211E-2</v>
      </c>
      <c r="L522" s="16" t="str">
        <f t="shared" si="93"/>
        <v>Valid</v>
      </c>
      <c r="M522" s="16" t="str">
        <f t="shared" si="94"/>
        <v>Valid</v>
      </c>
      <c r="N522" s="17" t="str">
        <f t="shared" si="95"/>
        <v>Stable/Reducing</v>
      </c>
      <c r="O522" s="16">
        <f t="shared" si="96"/>
        <v>23</v>
      </c>
      <c r="P522" s="14">
        <f t="shared" si="98"/>
        <v>2325</v>
      </c>
      <c r="Q522" s="16">
        <f t="shared" si="97"/>
        <v>2918.4580782596145</v>
      </c>
    </row>
    <row r="523" spans="1:17" x14ac:dyDescent="0.3">
      <c r="A523" s="13">
        <v>45715</v>
      </c>
      <c r="B523" s="13" t="str">
        <f t="shared" si="88"/>
        <v>February</v>
      </c>
      <c r="C523" s="13" t="str">
        <f t="shared" si="89"/>
        <v>2025-02</v>
      </c>
      <c r="D523" s="8">
        <v>10</v>
      </c>
      <c r="E523" s="8">
        <v>15</v>
      </c>
      <c r="F523" s="8">
        <v>17</v>
      </c>
      <c r="G523" s="8">
        <v>2391</v>
      </c>
      <c r="H523" s="8">
        <v>37</v>
      </c>
      <c r="I523" s="14">
        <f t="shared" si="90"/>
        <v>2406</v>
      </c>
      <c r="J523" s="14">
        <f t="shared" si="91"/>
        <v>-20</v>
      </c>
      <c r="K523" s="15">
        <f t="shared" si="92"/>
        <v>-3.5328345802161265E-2</v>
      </c>
      <c r="L523" s="16" t="str">
        <f t="shared" si="93"/>
        <v>Invalid</v>
      </c>
      <c r="M523" s="16" t="str">
        <f t="shared" si="94"/>
        <v>Valid</v>
      </c>
      <c r="N523" s="17" t="str">
        <f t="shared" si="95"/>
        <v>Stable/Reducing</v>
      </c>
      <c r="O523" s="16">
        <f t="shared" si="96"/>
        <v>2.1764705882352939</v>
      </c>
      <c r="P523" s="14">
        <f t="shared" si="98"/>
        <v>2286.4285714285716</v>
      </c>
      <c r="Q523" s="16">
        <f t="shared" si="97"/>
        <v>2918.4580782596145</v>
      </c>
    </row>
    <row r="524" spans="1:17" x14ac:dyDescent="0.3">
      <c r="A524" s="13">
        <v>45718</v>
      </c>
      <c r="B524" s="13" t="str">
        <f t="shared" si="88"/>
        <v>March</v>
      </c>
      <c r="C524" s="13" t="str">
        <f t="shared" si="89"/>
        <v>2025-03</v>
      </c>
      <c r="D524" s="8">
        <v>12</v>
      </c>
      <c r="E524" s="8">
        <v>24</v>
      </c>
      <c r="F524" s="8">
        <v>4</v>
      </c>
      <c r="G524" s="8">
        <v>2297</v>
      </c>
      <c r="H524" s="8">
        <v>31</v>
      </c>
      <c r="I524" s="14">
        <f t="shared" si="90"/>
        <v>2321</v>
      </c>
      <c r="J524" s="14">
        <f t="shared" si="91"/>
        <v>-27</v>
      </c>
      <c r="K524" s="15">
        <f t="shared" si="92"/>
        <v>-2.1542438604049978E-3</v>
      </c>
      <c r="L524" s="16" t="str">
        <f t="shared" si="93"/>
        <v>Valid</v>
      </c>
      <c r="M524" s="16" t="str">
        <f t="shared" si="94"/>
        <v>Valid</v>
      </c>
      <c r="N524" s="17" t="str">
        <f t="shared" si="95"/>
        <v>Stable/Reducing</v>
      </c>
      <c r="O524" s="16">
        <f t="shared" si="96"/>
        <v>7.75</v>
      </c>
      <c r="P524" s="14">
        <f t="shared" si="98"/>
        <v>2250.2857142857142</v>
      </c>
      <c r="Q524" s="16">
        <f t="shared" si="97"/>
        <v>2918.4580782596145</v>
      </c>
    </row>
    <row r="525" spans="1:17" x14ac:dyDescent="0.3">
      <c r="A525" s="13">
        <v>45719</v>
      </c>
      <c r="B525" s="13" t="str">
        <f t="shared" si="88"/>
        <v>March</v>
      </c>
      <c r="C525" s="13" t="str">
        <f t="shared" si="89"/>
        <v>2025-03</v>
      </c>
      <c r="D525" s="8">
        <v>8</v>
      </c>
      <c r="E525" s="8">
        <v>29</v>
      </c>
      <c r="F525" s="8">
        <v>18</v>
      </c>
      <c r="G525" s="8">
        <v>2287</v>
      </c>
      <c r="H525" s="8">
        <v>25</v>
      </c>
      <c r="I525" s="14">
        <f t="shared" si="90"/>
        <v>2316</v>
      </c>
      <c r="J525" s="14">
        <f t="shared" si="91"/>
        <v>-7</v>
      </c>
      <c r="K525" s="15">
        <f t="shared" si="92"/>
        <v>-8.2037996545768575E-3</v>
      </c>
      <c r="L525" s="16" t="str">
        <f t="shared" si="93"/>
        <v>Valid</v>
      </c>
      <c r="M525" s="16" t="str">
        <f t="shared" si="94"/>
        <v>Valid</v>
      </c>
      <c r="N525" s="17" t="str">
        <f t="shared" si="95"/>
        <v>Stable/Reducing</v>
      </c>
      <c r="O525" s="16">
        <f t="shared" si="96"/>
        <v>1.3888888888888888</v>
      </c>
      <c r="P525" s="14">
        <f t="shared" si="98"/>
        <v>2222.5714285714284</v>
      </c>
      <c r="Q525" s="16">
        <f t="shared" si="97"/>
        <v>2918.4580782596145</v>
      </c>
    </row>
    <row r="526" spans="1:17" x14ac:dyDescent="0.3">
      <c r="A526" s="13">
        <v>45720</v>
      </c>
      <c r="B526" s="13" t="str">
        <f t="shared" si="88"/>
        <v>March</v>
      </c>
      <c r="C526" s="13" t="str">
        <f t="shared" si="89"/>
        <v>2025-03</v>
      </c>
      <c r="D526" s="8">
        <v>4</v>
      </c>
      <c r="E526" s="8">
        <v>25</v>
      </c>
      <c r="F526" s="8">
        <v>10</v>
      </c>
      <c r="G526" s="8">
        <v>2272</v>
      </c>
      <c r="H526" s="8">
        <v>30</v>
      </c>
      <c r="I526" s="14">
        <f t="shared" si="90"/>
        <v>2297</v>
      </c>
      <c r="J526" s="14">
        <f t="shared" si="91"/>
        <v>-20</v>
      </c>
      <c r="K526" s="15">
        <f t="shared" si="92"/>
        <v>-1.697866782760122E-2</v>
      </c>
      <c r="L526" s="16" t="str">
        <f t="shared" si="93"/>
        <v>Valid</v>
      </c>
      <c r="M526" s="16" t="str">
        <f t="shared" si="94"/>
        <v>Valid</v>
      </c>
      <c r="N526" s="17" t="str">
        <f t="shared" si="95"/>
        <v>Stable/Reducing</v>
      </c>
      <c r="O526" s="16">
        <f t="shared" si="96"/>
        <v>3</v>
      </c>
      <c r="P526" s="14">
        <f t="shared" si="98"/>
        <v>2196.1428571428573</v>
      </c>
      <c r="Q526" s="16">
        <f t="shared" si="97"/>
        <v>2918.4580782596145</v>
      </c>
    </row>
    <row r="527" spans="1:17" x14ac:dyDescent="0.3">
      <c r="A527" s="13">
        <v>45721</v>
      </c>
      <c r="B527" s="13" t="str">
        <f t="shared" si="88"/>
        <v>March</v>
      </c>
      <c r="C527" s="13" t="str">
        <f t="shared" si="89"/>
        <v>2025-03</v>
      </c>
      <c r="D527" s="8">
        <v>5</v>
      </c>
      <c r="E527" s="8">
        <v>20</v>
      </c>
      <c r="F527" s="8">
        <v>4</v>
      </c>
      <c r="G527" s="8">
        <v>2238</v>
      </c>
      <c r="H527" s="8">
        <v>40</v>
      </c>
      <c r="I527" s="14">
        <f t="shared" si="90"/>
        <v>2258</v>
      </c>
      <c r="J527" s="14">
        <f t="shared" si="91"/>
        <v>-36</v>
      </c>
      <c r="K527" s="15">
        <f t="shared" si="92"/>
        <v>-5.7573073516386181E-3</v>
      </c>
      <c r="L527" s="16" t="str">
        <f t="shared" si="93"/>
        <v>Valid</v>
      </c>
      <c r="M527" s="16" t="str">
        <f t="shared" si="94"/>
        <v>Valid</v>
      </c>
      <c r="N527" s="17" t="str">
        <f t="shared" si="95"/>
        <v>Stable/Reducing</v>
      </c>
      <c r="O527" s="16">
        <f t="shared" si="96"/>
        <v>10</v>
      </c>
      <c r="P527" s="14">
        <f t="shared" si="98"/>
        <v>2173.1428571428573</v>
      </c>
      <c r="Q527" s="16">
        <f t="shared" si="97"/>
        <v>2918.4580782596145</v>
      </c>
    </row>
    <row r="528" spans="1:17" x14ac:dyDescent="0.3">
      <c r="A528" s="13">
        <v>45722</v>
      </c>
      <c r="B528" s="13" t="str">
        <f t="shared" si="88"/>
        <v>March</v>
      </c>
      <c r="C528" s="13" t="str">
        <f t="shared" si="89"/>
        <v>2025-03</v>
      </c>
      <c r="D528" s="8">
        <v>7</v>
      </c>
      <c r="E528" s="8">
        <v>27</v>
      </c>
      <c r="F528" s="8">
        <v>6</v>
      </c>
      <c r="G528" s="8">
        <v>2218</v>
      </c>
      <c r="H528" s="8">
        <v>33</v>
      </c>
      <c r="I528" s="14">
        <f t="shared" si="90"/>
        <v>2245</v>
      </c>
      <c r="J528" s="14">
        <f t="shared" si="91"/>
        <v>-27</v>
      </c>
      <c r="K528" s="15">
        <f t="shared" si="92"/>
        <v>-3.6971046770601333E-2</v>
      </c>
      <c r="L528" s="16" t="str">
        <f t="shared" si="93"/>
        <v>Valid</v>
      </c>
      <c r="M528" s="16" t="str">
        <f t="shared" si="94"/>
        <v>Valid</v>
      </c>
      <c r="N528" s="17" t="str">
        <f t="shared" si="95"/>
        <v>Stable/Reducing</v>
      </c>
      <c r="O528" s="16">
        <f t="shared" si="96"/>
        <v>5.5</v>
      </c>
      <c r="P528" s="14">
        <f t="shared" si="98"/>
        <v>2154.2857142857142</v>
      </c>
      <c r="Q528" s="16">
        <f t="shared" si="97"/>
        <v>2918.4580782596145</v>
      </c>
    </row>
    <row r="529" spans="1:17" x14ac:dyDescent="0.3">
      <c r="A529" s="13">
        <v>45725</v>
      </c>
      <c r="B529" s="13" t="str">
        <f t="shared" si="88"/>
        <v>March</v>
      </c>
      <c r="C529" s="13" t="str">
        <f t="shared" si="89"/>
        <v>2025-03</v>
      </c>
      <c r="D529" s="8">
        <v>12</v>
      </c>
      <c r="E529" s="8">
        <v>25</v>
      </c>
      <c r="F529" s="8">
        <v>15</v>
      </c>
      <c r="G529" s="8">
        <v>2137</v>
      </c>
      <c r="H529" s="8">
        <v>30</v>
      </c>
      <c r="I529" s="14">
        <f t="shared" si="90"/>
        <v>2162</v>
      </c>
      <c r="J529" s="14">
        <f t="shared" si="91"/>
        <v>-15</v>
      </c>
      <c r="K529" s="15">
        <f t="shared" si="92"/>
        <v>-4.1628122109158188E-3</v>
      </c>
      <c r="L529" s="16" t="str">
        <f t="shared" si="93"/>
        <v>Valid</v>
      </c>
      <c r="M529" s="16" t="str">
        <f t="shared" si="94"/>
        <v>Valid</v>
      </c>
      <c r="N529" s="17" t="str">
        <f t="shared" si="95"/>
        <v>Stable/Reducing</v>
      </c>
      <c r="O529" s="16">
        <f t="shared" si="96"/>
        <v>2</v>
      </c>
      <c r="P529" s="14">
        <f t="shared" si="98"/>
        <v>2137.1428571428573</v>
      </c>
      <c r="Q529" s="16">
        <f t="shared" si="97"/>
        <v>2918.4580782596145</v>
      </c>
    </row>
    <row r="530" spans="1:17" x14ac:dyDescent="0.3">
      <c r="A530" s="13">
        <v>45726</v>
      </c>
      <c r="B530" s="13" t="str">
        <f t="shared" si="88"/>
        <v>March</v>
      </c>
      <c r="C530" s="13" t="str">
        <f t="shared" si="89"/>
        <v>2025-03</v>
      </c>
      <c r="D530" s="8">
        <v>6</v>
      </c>
      <c r="E530" s="8">
        <v>28</v>
      </c>
      <c r="F530" s="8">
        <v>8</v>
      </c>
      <c r="G530" s="8">
        <v>2125</v>
      </c>
      <c r="H530" s="8">
        <v>23</v>
      </c>
      <c r="I530" s="14">
        <f t="shared" si="90"/>
        <v>2153</v>
      </c>
      <c r="J530" s="14">
        <f t="shared" si="91"/>
        <v>-15</v>
      </c>
      <c r="K530" s="15">
        <f t="shared" si="92"/>
        <v>-1.2076172782164421E-2</v>
      </c>
      <c r="L530" s="16" t="str">
        <f t="shared" si="93"/>
        <v>Valid</v>
      </c>
      <c r="M530" s="16" t="str">
        <f t="shared" si="94"/>
        <v>Valid</v>
      </c>
      <c r="N530" s="17" t="str">
        <f t="shared" si="95"/>
        <v>Stable/Reducing</v>
      </c>
      <c r="O530" s="16">
        <f t="shared" si="96"/>
        <v>2.875</v>
      </c>
      <c r="P530" s="14">
        <f t="shared" si="98"/>
        <v>2134.4285714285716</v>
      </c>
      <c r="Q530" s="16">
        <f t="shared" si="97"/>
        <v>2918.4580782596145</v>
      </c>
    </row>
    <row r="531" spans="1:17" x14ac:dyDescent="0.3">
      <c r="A531" s="13">
        <v>45727</v>
      </c>
      <c r="B531" s="13" t="str">
        <f t="shared" si="88"/>
        <v>March</v>
      </c>
      <c r="C531" s="13" t="str">
        <f t="shared" si="89"/>
        <v>2025-03</v>
      </c>
      <c r="D531" s="8">
        <v>3</v>
      </c>
      <c r="E531" s="8">
        <v>11</v>
      </c>
      <c r="F531" s="8">
        <v>7</v>
      </c>
      <c r="G531" s="8">
        <v>2116</v>
      </c>
      <c r="H531" s="8">
        <v>20</v>
      </c>
      <c r="I531" s="14">
        <f t="shared" si="90"/>
        <v>2127</v>
      </c>
      <c r="J531" s="14">
        <f t="shared" si="91"/>
        <v>-13</v>
      </c>
      <c r="K531" s="15">
        <f t="shared" si="92"/>
        <v>1.8805829807240243E-3</v>
      </c>
      <c r="L531" s="16" t="str">
        <f t="shared" si="93"/>
        <v>Valid</v>
      </c>
      <c r="M531" s="16" t="str">
        <f t="shared" si="94"/>
        <v>Valid</v>
      </c>
      <c r="N531" s="17" t="str">
        <f t="shared" si="95"/>
        <v>Stable/Reducing</v>
      </c>
      <c r="O531" s="16">
        <f t="shared" si="96"/>
        <v>2.8571428571428572</v>
      </c>
      <c r="P531" s="14">
        <f t="shared" si="98"/>
        <v>2132.7142857142858</v>
      </c>
      <c r="Q531" s="16">
        <f t="shared" si="97"/>
        <v>2918.4580782596145</v>
      </c>
    </row>
    <row r="532" spans="1:17" x14ac:dyDescent="0.3">
      <c r="A532" s="13">
        <v>45728</v>
      </c>
      <c r="B532" s="13" t="str">
        <f t="shared" si="88"/>
        <v>March</v>
      </c>
      <c r="C532" s="13" t="str">
        <f t="shared" si="89"/>
        <v>2025-03</v>
      </c>
      <c r="D532" s="8">
        <v>6</v>
      </c>
      <c r="E532" s="8">
        <v>18</v>
      </c>
      <c r="F532" s="8">
        <v>2</v>
      </c>
      <c r="G532" s="8">
        <v>2113</v>
      </c>
      <c r="H532" s="8">
        <v>8</v>
      </c>
      <c r="I532" s="14">
        <f t="shared" si="90"/>
        <v>2131</v>
      </c>
      <c r="J532" s="14">
        <f t="shared" si="91"/>
        <v>-6</v>
      </c>
      <c r="K532" s="15">
        <f t="shared" si="92"/>
        <v>2.346316283435007E-3</v>
      </c>
      <c r="L532" s="16" t="str">
        <f t="shared" si="93"/>
        <v>Valid</v>
      </c>
      <c r="M532" s="16" t="str">
        <f t="shared" si="94"/>
        <v>Valid</v>
      </c>
      <c r="N532" s="17" t="str">
        <f t="shared" si="95"/>
        <v>Stable/Reducing</v>
      </c>
      <c r="O532" s="16">
        <f t="shared" si="96"/>
        <v>4</v>
      </c>
      <c r="P532" s="14">
        <f t="shared" si="98"/>
        <v>2135.1428571428573</v>
      </c>
      <c r="Q532" s="16">
        <f t="shared" si="97"/>
        <v>2918.4580782596145</v>
      </c>
    </row>
    <row r="533" spans="1:17" x14ac:dyDescent="0.3">
      <c r="A533" s="13">
        <v>45729</v>
      </c>
      <c r="B533" s="13" t="str">
        <f t="shared" si="88"/>
        <v>March</v>
      </c>
      <c r="C533" s="13" t="str">
        <f t="shared" si="89"/>
        <v>2025-03</v>
      </c>
      <c r="D533" s="8">
        <v>4</v>
      </c>
      <c r="E533" s="8">
        <v>20</v>
      </c>
      <c r="F533" s="8">
        <v>9</v>
      </c>
      <c r="G533" s="8">
        <v>2116</v>
      </c>
      <c r="H533" s="8">
        <v>6</v>
      </c>
      <c r="I533" s="14">
        <f t="shared" si="90"/>
        <v>2136</v>
      </c>
      <c r="J533" s="14">
        <f t="shared" si="91"/>
        <v>3</v>
      </c>
      <c r="K533" s="15">
        <f t="shared" si="92"/>
        <v>-4.6816479400749065E-3</v>
      </c>
      <c r="L533" s="16" t="str">
        <f t="shared" si="93"/>
        <v>Valid</v>
      </c>
      <c r="M533" s="16" t="str">
        <f t="shared" si="94"/>
        <v>Valid</v>
      </c>
      <c r="N533" s="17" t="str">
        <f t="shared" si="95"/>
        <v>Increasing Pressure</v>
      </c>
      <c r="O533" s="16">
        <f t="shared" si="96"/>
        <v>0.66666666666666663</v>
      </c>
      <c r="P533" s="14">
        <f t="shared" si="98"/>
        <v>2140</v>
      </c>
      <c r="Q533" s="16">
        <f t="shared" si="97"/>
        <v>2918.4580782596145</v>
      </c>
    </row>
    <row r="534" spans="1:17" x14ac:dyDescent="0.3">
      <c r="A534" s="13">
        <v>45732</v>
      </c>
      <c r="B534" s="13" t="str">
        <f t="shared" si="88"/>
        <v>March</v>
      </c>
      <c r="C534" s="13" t="str">
        <f t="shared" si="89"/>
        <v>2025-03</v>
      </c>
      <c r="D534" s="8">
        <v>1</v>
      </c>
      <c r="E534" s="8">
        <v>9</v>
      </c>
      <c r="F534" s="8">
        <v>8</v>
      </c>
      <c r="G534" s="8">
        <v>2117</v>
      </c>
      <c r="H534" s="8">
        <v>5</v>
      </c>
      <c r="I534" s="14">
        <f t="shared" si="90"/>
        <v>2126</v>
      </c>
      <c r="J534" s="14">
        <f t="shared" si="91"/>
        <v>3</v>
      </c>
      <c r="K534" s="15">
        <f t="shared" si="92"/>
        <v>-4.7036688617121356E-4</v>
      </c>
      <c r="L534" s="16" t="str">
        <f t="shared" si="93"/>
        <v>Valid</v>
      </c>
      <c r="M534" s="16" t="str">
        <f t="shared" si="94"/>
        <v>Valid</v>
      </c>
      <c r="N534" s="17" t="str">
        <f t="shared" si="95"/>
        <v>Increasing Pressure</v>
      </c>
      <c r="O534" s="16">
        <f t="shared" si="96"/>
        <v>0.625</v>
      </c>
      <c r="P534" s="14">
        <f t="shared" si="98"/>
        <v>2142.2857142857142</v>
      </c>
      <c r="Q534" s="16">
        <f t="shared" si="97"/>
        <v>2918.4580782596145</v>
      </c>
    </row>
    <row r="535" spans="1:17" x14ac:dyDescent="0.3">
      <c r="A535" s="13">
        <v>45733</v>
      </c>
      <c r="B535" s="13" t="str">
        <f t="shared" si="88"/>
        <v>March</v>
      </c>
      <c r="C535" s="13" t="str">
        <f t="shared" si="89"/>
        <v>2025-03</v>
      </c>
      <c r="D535" s="8">
        <v>5</v>
      </c>
      <c r="E535" s="8">
        <v>14</v>
      </c>
      <c r="F535" s="8">
        <v>0</v>
      </c>
      <c r="G535" s="8">
        <v>2111</v>
      </c>
      <c r="H535" s="8">
        <v>8</v>
      </c>
      <c r="I535" s="14">
        <f t="shared" si="90"/>
        <v>2125</v>
      </c>
      <c r="J535" s="14">
        <f t="shared" si="91"/>
        <v>-8</v>
      </c>
      <c r="K535" s="15">
        <f t="shared" si="92"/>
        <v>8.4705882352941169E-3</v>
      </c>
      <c r="L535" s="16" t="str">
        <f t="shared" si="93"/>
        <v>Valid</v>
      </c>
      <c r="M535" s="16" t="str">
        <f t="shared" si="94"/>
        <v>Valid</v>
      </c>
      <c r="N535" s="17" t="str">
        <f t="shared" si="95"/>
        <v>Stable/Reducing</v>
      </c>
      <c r="O535" s="16">
        <f t="shared" si="96"/>
        <v>0</v>
      </c>
      <c r="P535" s="14">
        <f t="shared" si="98"/>
        <v>2147.7142857142858</v>
      </c>
      <c r="Q535" s="16">
        <f t="shared" si="97"/>
        <v>2918.4580782596145</v>
      </c>
    </row>
    <row r="536" spans="1:17" x14ac:dyDescent="0.3">
      <c r="A536" s="13">
        <v>45734</v>
      </c>
      <c r="B536" s="13" t="str">
        <f t="shared" si="88"/>
        <v>March</v>
      </c>
      <c r="C536" s="13" t="str">
        <f t="shared" si="89"/>
        <v>2025-03</v>
      </c>
      <c r="D536" s="8">
        <v>19</v>
      </c>
      <c r="E536" s="8">
        <v>34</v>
      </c>
      <c r="F536" s="8">
        <v>6</v>
      </c>
      <c r="G536" s="8">
        <v>2109</v>
      </c>
      <c r="H536" s="8">
        <v>8</v>
      </c>
      <c r="I536" s="14">
        <f t="shared" si="90"/>
        <v>2143</v>
      </c>
      <c r="J536" s="14">
        <f t="shared" si="91"/>
        <v>-2</v>
      </c>
      <c r="K536" s="15">
        <f t="shared" si="92"/>
        <v>-9.3327111525898275E-4</v>
      </c>
      <c r="L536" s="16" t="str">
        <f t="shared" si="93"/>
        <v>Valid</v>
      </c>
      <c r="M536" s="16" t="str">
        <f t="shared" si="94"/>
        <v>Valid</v>
      </c>
      <c r="N536" s="17" t="str">
        <f t="shared" si="95"/>
        <v>Stable/Reducing</v>
      </c>
      <c r="O536" s="16">
        <f t="shared" si="96"/>
        <v>1.3333333333333333</v>
      </c>
      <c r="P536" s="14">
        <f t="shared" si="98"/>
        <v>2155.5714285714284</v>
      </c>
      <c r="Q536" s="16">
        <f t="shared" si="97"/>
        <v>2918.4580782596145</v>
      </c>
    </row>
    <row r="537" spans="1:17" x14ac:dyDescent="0.3">
      <c r="A537" s="13">
        <v>45735</v>
      </c>
      <c r="B537" s="13" t="str">
        <f t="shared" si="88"/>
        <v>March</v>
      </c>
      <c r="C537" s="13" t="str">
        <f t="shared" si="89"/>
        <v>2025-03</v>
      </c>
      <c r="D537" s="8">
        <v>6</v>
      </c>
      <c r="E537" s="8">
        <v>22</v>
      </c>
      <c r="F537" s="8">
        <v>14</v>
      </c>
      <c r="G537" s="8">
        <v>2119</v>
      </c>
      <c r="H537" s="8">
        <v>9</v>
      </c>
      <c r="I537" s="14">
        <f t="shared" si="90"/>
        <v>2141</v>
      </c>
      <c r="J537" s="14">
        <f t="shared" si="91"/>
        <v>5</v>
      </c>
      <c r="K537" s="15">
        <f t="shared" si="92"/>
        <v>1.4012143858010276E-3</v>
      </c>
      <c r="L537" s="16" t="str">
        <f t="shared" si="93"/>
        <v>Valid</v>
      </c>
      <c r="M537" s="16" t="str">
        <f t="shared" si="94"/>
        <v>Valid</v>
      </c>
      <c r="N537" s="17" t="str">
        <f t="shared" si="95"/>
        <v>Increasing Pressure</v>
      </c>
      <c r="O537" s="16">
        <f t="shared" si="96"/>
        <v>0.6428571428571429</v>
      </c>
      <c r="P537" s="14">
        <f t="shared" si="98"/>
        <v>2160.5714285714284</v>
      </c>
      <c r="Q537" s="16">
        <f t="shared" si="97"/>
        <v>2918.4580782596145</v>
      </c>
    </row>
    <row r="538" spans="1:17" x14ac:dyDescent="0.3">
      <c r="A538" s="13">
        <v>45736</v>
      </c>
      <c r="B538" s="13" t="str">
        <f t="shared" si="88"/>
        <v>March</v>
      </c>
      <c r="C538" s="13" t="str">
        <f t="shared" si="89"/>
        <v>2025-03</v>
      </c>
      <c r="D538" s="8">
        <v>9</v>
      </c>
      <c r="E538" s="8">
        <v>20</v>
      </c>
      <c r="F538" s="8">
        <v>11</v>
      </c>
      <c r="G538" s="8">
        <v>2124</v>
      </c>
      <c r="H538" s="8">
        <v>7</v>
      </c>
      <c r="I538" s="14">
        <f t="shared" si="90"/>
        <v>2144</v>
      </c>
      <c r="J538" s="14">
        <f t="shared" si="91"/>
        <v>4</v>
      </c>
      <c r="K538" s="15">
        <f t="shared" si="92"/>
        <v>9.7947761194029856E-3</v>
      </c>
      <c r="L538" s="16" t="str">
        <f t="shared" si="93"/>
        <v>Valid</v>
      </c>
      <c r="M538" s="16" t="str">
        <f t="shared" si="94"/>
        <v>Valid</v>
      </c>
      <c r="N538" s="17" t="str">
        <f t="shared" si="95"/>
        <v>Increasing Pressure</v>
      </c>
      <c r="O538" s="16">
        <f t="shared" si="96"/>
        <v>0.63636363636363635</v>
      </c>
      <c r="P538" s="14">
        <f t="shared" si="98"/>
        <v>2170.1428571428573</v>
      </c>
      <c r="Q538" s="16">
        <f t="shared" si="97"/>
        <v>2918.4580782596145</v>
      </c>
    </row>
    <row r="539" spans="1:17" x14ac:dyDescent="0.3">
      <c r="A539" s="13">
        <v>45739</v>
      </c>
      <c r="B539" s="13" t="str">
        <f t="shared" si="88"/>
        <v>March</v>
      </c>
      <c r="C539" s="13" t="str">
        <f t="shared" si="89"/>
        <v>2025-03</v>
      </c>
      <c r="D539" s="8">
        <v>15</v>
      </c>
      <c r="E539" s="8">
        <v>29</v>
      </c>
      <c r="F539" s="8">
        <v>9</v>
      </c>
      <c r="G539" s="8">
        <v>2136</v>
      </c>
      <c r="H539" s="8">
        <v>2</v>
      </c>
      <c r="I539" s="14">
        <f t="shared" si="90"/>
        <v>2165</v>
      </c>
      <c r="J539" s="14">
        <f t="shared" si="91"/>
        <v>7</v>
      </c>
      <c r="K539" s="15">
        <f t="shared" si="92"/>
        <v>-6.0046189376443421E-3</v>
      </c>
      <c r="L539" s="16" t="str">
        <f t="shared" si="93"/>
        <v>Valid</v>
      </c>
      <c r="M539" s="16" t="str">
        <f t="shared" si="94"/>
        <v>Valid</v>
      </c>
      <c r="N539" s="17" t="str">
        <f t="shared" si="95"/>
        <v>Increasing Pressure</v>
      </c>
      <c r="O539" s="16">
        <f t="shared" si="96"/>
        <v>0.22222222222222221</v>
      </c>
      <c r="P539" s="14">
        <f t="shared" si="98"/>
        <v>2180.7142857142858</v>
      </c>
      <c r="Q539" s="16">
        <f t="shared" si="97"/>
        <v>2918.4580782596145</v>
      </c>
    </row>
    <row r="540" spans="1:17" x14ac:dyDescent="0.3">
      <c r="A540" s="13">
        <v>45740</v>
      </c>
      <c r="B540" s="13" t="str">
        <f t="shared" si="88"/>
        <v>March</v>
      </c>
      <c r="C540" s="13" t="str">
        <f t="shared" si="89"/>
        <v>2025-03</v>
      </c>
      <c r="D540" s="8">
        <v>7</v>
      </c>
      <c r="E540" s="8">
        <v>13</v>
      </c>
      <c r="F540" s="8">
        <v>11</v>
      </c>
      <c r="G540" s="8">
        <v>2139</v>
      </c>
      <c r="H540" s="8">
        <v>7</v>
      </c>
      <c r="I540" s="14">
        <f t="shared" si="90"/>
        <v>2152</v>
      </c>
      <c r="J540" s="14">
        <f t="shared" si="91"/>
        <v>4</v>
      </c>
      <c r="K540" s="15">
        <f t="shared" si="92"/>
        <v>5.5762081784386614E-3</v>
      </c>
      <c r="L540" s="16" t="str">
        <f t="shared" si="93"/>
        <v>Valid</v>
      </c>
      <c r="M540" s="16" t="str">
        <f t="shared" si="94"/>
        <v>Valid</v>
      </c>
      <c r="N540" s="17" t="str">
        <f t="shared" si="95"/>
        <v>Increasing Pressure</v>
      </c>
      <c r="O540" s="16">
        <f t="shared" si="96"/>
        <v>0.63636363636363635</v>
      </c>
      <c r="P540" s="14">
        <f t="shared" si="98"/>
        <v>2189.5714285714284</v>
      </c>
      <c r="Q540" s="16">
        <f t="shared" si="97"/>
        <v>2918.4580782596145</v>
      </c>
    </row>
    <row r="541" spans="1:17" x14ac:dyDescent="0.3">
      <c r="A541" s="13">
        <v>45741</v>
      </c>
      <c r="B541" s="13" t="str">
        <f t="shared" si="88"/>
        <v>March</v>
      </c>
      <c r="C541" s="13" t="str">
        <f t="shared" si="89"/>
        <v>2025-03</v>
      </c>
      <c r="D541" s="8">
        <v>12</v>
      </c>
      <c r="E541" s="8">
        <v>19</v>
      </c>
      <c r="F541" s="8">
        <v>7</v>
      </c>
      <c r="G541" s="8">
        <v>2145</v>
      </c>
      <c r="H541" s="8">
        <v>6</v>
      </c>
      <c r="I541" s="14">
        <f t="shared" si="90"/>
        <v>2164</v>
      </c>
      <c r="J541" s="14">
        <f t="shared" si="91"/>
        <v>1</v>
      </c>
      <c r="K541" s="15">
        <f t="shared" si="92"/>
        <v>7.3937153419593345E-3</v>
      </c>
      <c r="L541" s="16" t="str">
        <f t="shared" si="93"/>
        <v>Valid</v>
      </c>
      <c r="M541" s="16" t="str">
        <f t="shared" si="94"/>
        <v>Valid</v>
      </c>
      <c r="N541" s="17" t="str">
        <f t="shared" si="95"/>
        <v>Increasing Pressure</v>
      </c>
      <c r="O541" s="16">
        <f t="shared" si="96"/>
        <v>0.8571428571428571</v>
      </c>
      <c r="P541" s="14">
        <f t="shared" si="98"/>
        <v>2202</v>
      </c>
      <c r="Q541" s="16">
        <f t="shared" si="97"/>
        <v>2918.4580782596145</v>
      </c>
    </row>
    <row r="542" spans="1:17" x14ac:dyDescent="0.3">
      <c r="A542" s="13">
        <v>45742</v>
      </c>
      <c r="B542" s="13" t="str">
        <f t="shared" si="88"/>
        <v>March</v>
      </c>
      <c r="C542" s="13" t="str">
        <f t="shared" si="89"/>
        <v>2025-03</v>
      </c>
      <c r="D542" s="8">
        <v>9</v>
      </c>
      <c r="E542" s="8">
        <v>21</v>
      </c>
      <c r="F542" s="8">
        <v>15</v>
      </c>
      <c r="G542" s="8">
        <v>2159</v>
      </c>
      <c r="H542" s="8">
        <v>2</v>
      </c>
      <c r="I542" s="14">
        <f t="shared" si="90"/>
        <v>2180</v>
      </c>
      <c r="J542" s="14">
        <f t="shared" si="91"/>
        <v>13</v>
      </c>
      <c r="K542" s="15">
        <f t="shared" si="92"/>
        <v>-9.1743119266055051E-4</v>
      </c>
      <c r="L542" s="16" t="str">
        <f t="shared" si="93"/>
        <v>Valid</v>
      </c>
      <c r="M542" s="16" t="str">
        <f t="shared" si="94"/>
        <v>Valid</v>
      </c>
      <c r="N542" s="17" t="str">
        <f t="shared" si="95"/>
        <v>Increasing Pressure</v>
      </c>
      <c r="O542" s="16">
        <f t="shared" si="96"/>
        <v>0.13333333333333333</v>
      </c>
      <c r="P542" s="14">
        <f t="shared" si="98"/>
        <v>2214.1428571428573</v>
      </c>
      <c r="Q542" s="16">
        <f t="shared" si="97"/>
        <v>2918.4580782596145</v>
      </c>
    </row>
    <row r="543" spans="1:17" x14ac:dyDescent="0.3">
      <c r="A543" s="13">
        <v>45743</v>
      </c>
      <c r="B543" s="13" t="str">
        <f t="shared" si="88"/>
        <v>March</v>
      </c>
      <c r="C543" s="13" t="str">
        <f t="shared" si="89"/>
        <v>2025-03</v>
      </c>
      <c r="D543" s="8">
        <v>1</v>
      </c>
      <c r="E543" s="8">
        <v>19</v>
      </c>
      <c r="F543" s="8">
        <v>13</v>
      </c>
      <c r="G543" s="8">
        <v>2159</v>
      </c>
      <c r="H543" s="8">
        <v>2</v>
      </c>
      <c r="I543" s="14">
        <f t="shared" si="90"/>
        <v>2178</v>
      </c>
      <c r="J543" s="14">
        <f t="shared" si="91"/>
        <v>11</v>
      </c>
      <c r="K543" s="15">
        <f t="shared" si="92"/>
        <v>1.3774104683195593E-2</v>
      </c>
      <c r="L543" s="16" t="str">
        <f t="shared" si="93"/>
        <v>Valid</v>
      </c>
      <c r="M543" s="16" t="str">
        <f t="shared" si="94"/>
        <v>Valid</v>
      </c>
      <c r="N543" s="17" t="str">
        <f t="shared" si="95"/>
        <v>Increasing Pressure</v>
      </c>
      <c r="O543" s="16">
        <f t="shared" si="96"/>
        <v>0.15384615384615385</v>
      </c>
      <c r="P543" s="14">
        <f t="shared" si="98"/>
        <v>2223.8571428571427</v>
      </c>
      <c r="Q543" s="16">
        <f t="shared" si="97"/>
        <v>2918.4580782596145</v>
      </c>
    </row>
    <row r="544" spans="1:17" x14ac:dyDescent="0.3">
      <c r="A544" s="13">
        <v>45746</v>
      </c>
      <c r="B544" s="13" t="str">
        <f t="shared" si="88"/>
        <v>March</v>
      </c>
      <c r="C544" s="13" t="str">
        <f t="shared" si="89"/>
        <v>2025-03</v>
      </c>
      <c r="D544" s="8">
        <v>9</v>
      </c>
      <c r="E544" s="8">
        <v>20</v>
      </c>
      <c r="F544" s="8">
        <v>5</v>
      </c>
      <c r="G544" s="8">
        <v>2188</v>
      </c>
      <c r="H544" s="8">
        <v>2</v>
      </c>
      <c r="I544" s="14">
        <f t="shared" si="90"/>
        <v>2208</v>
      </c>
      <c r="J544" s="14">
        <f t="shared" si="91"/>
        <v>3</v>
      </c>
      <c r="K544" s="15">
        <f t="shared" si="92"/>
        <v>4.528985507246377E-3</v>
      </c>
      <c r="L544" s="16" t="str">
        <f t="shared" si="93"/>
        <v>Valid</v>
      </c>
      <c r="M544" s="16" t="str">
        <f t="shared" si="94"/>
        <v>Valid</v>
      </c>
      <c r="N544" s="17" t="str">
        <f t="shared" si="95"/>
        <v>Increasing Pressure</v>
      </c>
      <c r="O544" s="16">
        <f t="shared" si="96"/>
        <v>0.4</v>
      </c>
      <c r="P544" s="14">
        <f t="shared" si="98"/>
        <v>2235.4285714285716</v>
      </c>
      <c r="Q544" s="16">
        <f t="shared" si="97"/>
        <v>2918.4580782596145</v>
      </c>
    </row>
    <row r="545" spans="1:17" x14ac:dyDescent="0.3">
      <c r="A545" s="13">
        <v>45747</v>
      </c>
      <c r="B545" s="13" t="str">
        <f t="shared" si="88"/>
        <v>March</v>
      </c>
      <c r="C545" s="13" t="str">
        <f t="shared" si="89"/>
        <v>2025-03</v>
      </c>
      <c r="D545" s="8">
        <v>9</v>
      </c>
      <c r="E545" s="8">
        <v>25</v>
      </c>
      <c r="F545" s="8">
        <v>8</v>
      </c>
      <c r="G545" s="8">
        <v>2193</v>
      </c>
      <c r="H545" s="8">
        <v>5</v>
      </c>
      <c r="I545" s="14">
        <f t="shared" si="90"/>
        <v>2218</v>
      </c>
      <c r="J545" s="14">
        <f t="shared" si="91"/>
        <v>3</v>
      </c>
      <c r="K545" s="15">
        <f t="shared" si="92"/>
        <v>4.0577096483318306E-3</v>
      </c>
      <c r="L545" s="16" t="str">
        <f t="shared" si="93"/>
        <v>Valid</v>
      </c>
      <c r="M545" s="16" t="str">
        <f t="shared" si="94"/>
        <v>Valid</v>
      </c>
      <c r="N545" s="17" t="str">
        <f t="shared" si="95"/>
        <v>Increasing Pressure</v>
      </c>
      <c r="O545" s="16">
        <f t="shared" si="96"/>
        <v>0.625</v>
      </c>
      <c r="P545" s="14">
        <f t="shared" si="98"/>
        <v>2245.2857142857142</v>
      </c>
      <c r="Q545" s="16">
        <f t="shared" si="97"/>
        <v>2918.4580782596145</v>
      </c>
    </row>
    <row r="546" spans="1:17" x14ac:dyDescent="0.3">
      <c r="A546" s="13">
        <v>45748</v>
      </c>
      <c r="B546" s="13" t="str">
        <f t="shared" si="88"/>
        <v>April</v>
      </c>
      <c r="C546" s="13" t="str">
        <f t="shared" si="89"/>
        <v>2025-04</v>
      </c>
      <c r="D546" s="8">
        <v>17</v>
      </c>
      <c r="E546" s="8">
        <v>36</v>
      </c>
      <c r="F546" s="8">
        <v>7</v>
      </c>
      <c r="G546" s="8">
        <v>2191</v>
      </c>
      <c r="H546" s="8">
        <v>12</v>
      </c>
      <c r="I546" s="14">
        <f t="shared" si="90"/>
        <v>2227</v>
      </c>
      <c r="J546" s="14">
        <f t="shared" si="91"/>
        <v>-5</v>
      </c>
      <c r="K546" s="15">
        <f t="shared" si="92"/>
        <v>5.3884149079479124E-3</v>
      </c>
      <c r="L546" s="16" t="str">
        <f t="shared" si="93"/>
        <v>Valid</v>
      </c>
      <c r="M546" s="16" t="str">
        <f t="shared" si="94"/>
        <v>Valid</v>
      </c>
      <c r="N546" s="17" t="str">
        <f t="shared" si="95"/>
        <v>Stable/Reducing</v>
      </c>
      <c r="O546" s="16">
        <f t="shared" si="96"/>
        <v>1.7142857142857142</v>
      </c>
      <c r="P546" s="14">
        <f t="shared" si="98"/>
        <v>2252.7142857142858</v>
      </c>
      <c r="Q546" s="16">
        <f t="shared" si="97"/>
        <v>2918.4580782596145</v>
      </c>
    </row>
    <row r="547" spans="1:17" x14ac:dyDescent="0.3">
      <c r="A547" s="13">
        <v>45749</v>
      </c>
      <c r="B547" s="13" t="str">
        <f t="shared" si="88"/>
        <v>April</v>
      </c>
      <c r="C547" s="13" t="str">
        <f t="shared" si="89"/>
        <v>2025-04</v>
      </c>
      <c r="D547" s="8">
        <v>5</v>
      </c>
      <c r="E547" s="8">
        <v>31</v>
      </c>
      <c r="F547" s="8">
        <v>16</v>
      </c>
      <c r="G547" s="8">
        <v>2208</v>
      </c>
      <c r="H547" s="8">
        <v>3</v>
      </c>
      <c r="I547" s="14">
        <f t="shared" si="90"/>
        <v>2239</v>
      </c>
      <c r="J547" s="14">
        <f t="shared" si="91"/>
        <v>13</v>
      </c>
      <c r="K547" s="15">
        <f t="shared" si="92"/>
        <v>4.4662795891022775E-3</v>
      </c>
      <c r="L547" s="16" t="str">
        <f t="shared" si="93"/>
        <v>Valid</v>
      </c>
      <c r="M547" s="16" t="str">
        <f t="shared" si="94"/>
        <v>Valid</v>
      </c>
      <c r="N547" s="17" t="str">
        <f t="shared" si="95"/>
        <v>Increasing Pressure</v>
      </c>
      <c r="O547" s="16">
        <f t="shared" si="96"/>
        <v>0.1875</v>
      </c>
      <c r="P547" s="14">
        <f t="shared" si="98"/>
        <v>2261.7142857142858</v>
      </c>
      <c r="Q547" s="16">
        <f t="shared" si="97"/>
        <v>2918.4580782596145</v>
      </c>
    </row>
    <row r="548" spans="1:17" x14ac:dyDescent="0.3">
      <c r="A548" s="13">
        <v>45750</v>
      </c>
      <c r="B548" s="13" t="str">
        <f t="shared" si="88"/>
        <v>April</v>
      </c>
      <c r="C548" s="13" t="str">
        <f t="shared" si="89"/>
        <v>2025-04</v>
      </c>
      <c r="D548" s="8">
        <v>12</v>
      </c>
      <c r="E548" s="8">
        <v>26</v>
      </c>
      <c r="F548" s="8">
        <v>18</v>
      </c>
      <c r="G548" s="8">
        <v>2223</v>
      </c>
      <c r="H548" s="8">
        <v>8</v>
      </c>
      <c r="I548" s="14">
        <f t="shared" si="90"/>
        <v>2249</v>
      </c>
      <c r="J548" s="14">
        <f t="shared" si="91"/>
        <v>10</v>
      </c>
      <c r="K548" s="15">
        <f t="shared" si="92"/>
        <v>-4.4464206313917296E-4</v>
      </c>
      <c r="L548" s="16" t="str">
        <f t="shared" si="93"/>
        <v>Valid</v>
      </c>
      <c r="M548" s="16" t="str">
        <f t="shared" si="94"/>
        <v>Valid</v>
      </c>
      <c r="N548" s="17" t="str">
        <f t="shared" si="95"/>
        <v>Increasing Pressure</v>
      </c>
      <c r="O548" s="16">
        <f t="shared" si="96"/>
        <v>0.44444444444444442</v>
      </c>
      <c r="P548" s="14">
        <f t="shared" si="98"/>
        <v>2268.8571428571427</v>
      </c>
      <c r="Q548" s="16">
        <f t="shared" si="97"/>
        <v>2918.4580782596145</v>
      </c>
    </row>
    <row r="549" spans="1:17" x14ac:dyDescent="0.3">
      <c r="A549" s="13">
        <v>45753</v>
      </c>
      <c r="B549" s="13" t="str">
        <f t="shared" si="88"/>
        <v>April</v>
      </c>
      <c r="C549" s="13" t="str">
        <f t="shared" si="89"/>
        <v>2025-04</v>
      </c>
      <c r="D549" s="8">
        <v>7</v>
      </c>
      <c r="E549" s="8">
        <v>14</v>
      </c>
      <c r="F549" s="8">
        <v>7</v>
      </c>
      <c r="G549" s="8">
        <v>2234</v>
      </c>
      <c r="H549" s="8">
        <v>11</v>
      </c>
      <c r="I549" s="14">
        <f t="shared" si="90"/>
        <v>2248</v>
      </c>
      <c r="J549" s="14">
        <f t="shared" si="91"/>
        <v>-4</v>
      </c>
      <c r="K549" s="15">
        <f t="shared" si="92"/>
        <v>4.8932384341637009E-3</v>
      </c>
      <c r="L549" s="16" t="str">
        <f t="shared" si="93"/>
        <v>Valid</v>
      </c>
      <c r="M549" s="16" t="str">
        <f t="shared" si="94"/>
        <v>Valid</v>
      </c>
      <c r="N549" s="17" t="str">
        <f t="shared" si="95"/>
        <v>Stable/Reducing</v>
      </c>
      <c r="O549" s="16">
        <f t="shared" si="96"/>
        <v>1.5714285714285714</v>
      </c>
      <c r="P549" s="14">
        <f t="shared" si="98"/>
        <v>2277.4285714285716</v>
      </c>
      <c r="Q549" s="16">
        <f t="shared" si="97"/>
        <v>2918.4580782596145</v>
      </c>
    </row>
    <row r="550" spans="1:17" x14ac:dyDescent="0.3">
      <c r="A550" s="13">
        <v>45754</v>
      </c>
      <c r="B550" s="13" t="str">
        <f t="shared" si="88"/>
        <v>April</v>
      </c>
      <c r="C550" s="13" t="str">
        <f t="shared" si="89"/>
        <v>2025-04</v>
      </c>
      <c r="D550" s="8">
        <v>12</v>
      </c>
      <c r="E550" s="8">
        <v>22</v>
      </c>
      <c r="F550" s="8">
        <v>9</v>
      </c>
      <c r="G550" s="8">
        <v>2237</v>
      </c>
      <c r="H550" s="8">
        <v>5</v>
      </c>
      <c r="I550" s="14">
        <f t="shared" si="90"/>
        <v>2259</v>
      </c>
      <c r="J550" s="14">
        <f t="shared" si="91"/>
        <v>4</v>
      </c>
      <c r="K550" s="15">
        <f t="shared" si="92"/>
        <v>7.9681274900398405E-3</v>
      </c>
      <c r="L550" s="16" t="str">
        <f t="shared" si="93"/>
        <v>Valid</v>
      </c>
      <c r="M550" s="16" t="str">
        <f t="shared" si="94"/>
        <v>Valid</v>
      </c>
      <c r="N550" s="17" t="str">
        <f t="shared" si="95"/>
        <v>Increasing Pressure</v>
      </c>
      <c r="O550" s="16">
        <f t="shared" si="96"/>
        <v>0.55555555555555558</v>
      </c>
      <c r="P550" s="14">
        <f t="shared" si="98"/>
        <v>2286</v>
      </c>
      <c r="Q550" s="16">
        <f t="shared" si="97"/>
        <v>2918.4580782596145</v>
      </c>
    </row>
    <row r="551" spans="1:17" x14ac:dyDescent="0.3">
      <c r="A551" s="13">
        <v>45755</v>
      </c>
      <c r="B551" s="13" t="str">
        <f t="shared" si="88"/>
        <v>April</v>
      </c>
      <c r="C551" s="13" t="str">
        <f t="shared" si="89"/>
        <v>2025-04</v>
      </c>
      <c r="D551" s="8">
        <v>12</v>
      </c>
      <c r="E551" s="8">
        <v>34</v>
      </c>
      <c r="F551" s="8">
        <v>12</v>
      </c>
      <c r="G551" s="8">
        <v>2243</v>
      </c>
      <c r="H551" s="8">
        <v>9</v>
      </c>
      <c r="I551" s="14">
        <f t="shared" si="90"/>
        <v>2277</v>
      </c>
      <c r="J551" s="14">
        <f t="shared" si="91"/>
        <v>3</v>
      </c>
      <c r="K551" s="15">
        <f t="shared" si="92"/>
        <v>-3.0742204655248135E-3</v>
      </c>
      <c r="L551" s="16" t="str">
        <f t="shared" si="93"/>
        <v>Valid</v>
      </c>
      <c r="M551" s="16" t="str">
        <f t="shared" si="94"/>
        <v>Valid</v>
      </c>
      <c r="N551" s="17" t="str">
        <f t="shared" si="95"/>
        <v>Increasing Pressure</v>
      </c>
      <c r="O551" s="16">
        <f t="shared" si="96"/>
        <v>0.75</v>
      </c>
      <c r="P551" s="14">
        <f t="shared" si="98"/>
        <v>2292.5714285714284</v>
      </c>
      <c r="Q551" s="16">
        <f t="shared" si="97"/>
        <v>2918.4580782596145</v>
      </c>
    </row>
    <row r="552" spans="1:17" x14ac:dyDescent="0.3">
      <c r="A552" s="13">
        <v>45756</v>
      </c>
      <c r="B552" s="13" t="str">
        <f t="shared" si="88"/>
        <v>April</v>
      </c>
      <c r="C552" s="13" t="str">
        <f t="shared" si="89"/>
        <v>2025-04</v>
      </c>
      <c r="D552" s="8">
        <v>6</v>
      </c>
      <c r="E552" s="8">
        <v>19</v>
      </c>
      <c r="F552" s="8">
        <v>10</v>
      </c>
      <c r="G552" s="8">
        <v>2251</v>
      </c>
      <c r="H552" s="8">
        <v>5</v>
      </c>
      <c r="I552" s="14">
        <f t="shared" si="90"/>
        <v>2270</v>
      </c>
      <c r="J552" s="14">
        <f t="shared" si="91"/>
        <v>5</v>
      </c>
      <c r="K552" s="15">
        <f t="shared" si="92"/>
        <v>8.8105726872246704E-3</v>
      </c>
      <c r="L552" s="16" t="str">
        <f t="shared" si="93"/>
        <v>Valid</v>
      </c>
      <c r="M552" s="16" t="str">
        <f t="shared" si="94"/>
        <v>Valid</v>
      </c>
      <c r="N552" s="17" t="str">
        <f t="shared" si="95"/>
        <v>Increasing Pressure</v>
      </c>
      <c r="O552" s="16">
        <f t="shared" si="96"/>
        <v>0.5</v>
      </c>
      <c r="P552" s="14">
        <f t="shared" si="98"/>
        <v>2298.8571428571427</v>
      </c>
      <c r="Q552" s="16">
        <f t="shared" si="97"/>
        <v>2918.4580782596145</v>
      </c>
    </row>
    <row r="553" spans="1:17" x14ac:dyDescent="0.3">
      <c r="A553" s="13">
        <v>45757</v>
      </c>
      <c r="B553" s="13" t="str">
        <f t="shared" si="88"/>
        <v>April</v>
      </c>
      <c r="C553" s="13" t="str">
        <f t="shared" si="89"/>
        <v>2025-04</v>
      </c>
      <c r="D553" s="8">
        <v>18</v>
      </c>
      <c r="E553" s="8">
        <v>25</v>
      </c>
      <c r="F553" s="8">
        <v>17</v>
      </c>
      <c r="G553" s="8">
        <v>2265</v>
      </c>
      <c r="H553" s="8">
        <v>6</v>
      </c>
      <c r="I553" s="14">
        <f t="shared" si="90"/>
        <v>2290</v>
      </c>
      <c r="J553" s="14">
        <f t="shared" si="91"/>
        <v>11</v>
      </c>
      <c r="K553" s="15">
        <f t="shared" si="92"/>
        <v>-4.3668122270742359E-4</v>
      </c>
      <c r="L553" s="16" t="str">
        <f t="shared" si="93"/>
        <v>Valid</v>
      </c>
      <c r="M553" s="16" t="str">
        <f t="shared" si="94"/>
        <v>Valid</v>
      </c>
      <c r="N553" s="17" t="str">
        <f t="shared" si="95"/>
        <v>Increasing Pressure</v>
      </c>
      <c r="O553" s="16">
        <f t="shared" si="96"/>
        <v>0.35294117647058826</v>
      </c>
      <c r="P553" s="14">
        <f t="shared" si="98"/>
        <v>2305.1428571428573</v>
      </c>
      <c r="Q553" s="16">
        <f t="shared" si="97"/>
        <v>2918.4580782596145</v>
      </c>
    </row>
    <row r="554" spans="1:17" x14ac:dyDescent="0.3">
      <c r="A554" s="13">
        <v>45758</v>
      </c>
      <c r="B554" s="13" t="str">
        <f t="shared" si="88"/>
        <v>April</v>
      </c>
      <c r="C554" s="13" t="str">
        <f t="shared" si="89"/>
        <v>2025-04</v>
      </c>
      <c r="D554" s="8">
        <v>8</v>
      </c>
      <c r="E554" s="8">
        <v>22</v>
      </c>
      <c r="F554" s="8">
        <v>8</v>
      </c>
      <c r="G554" s="8">
        <v>2267</v>
      </c>
      <c r="H554" s="8">
        <v>9</v>
      </c>
      <c r="I554" s="14">
        <f t="shared" si="90"/>
        <v>2289</v>
      </c>
      <c r="J554" s="14">
        <f t="shared" si="91"/>
        <v>-1</v>
      </c>
      <c r="K554" s="15">
        <f t="shared" si="92"/>
        <v>8.7374399301004806E-3</v>
      </c>
      <c r="L554" s="16" t="str">
        <f t="shared" si="93"/>
        <v>Valid</v>
      </c>
      <c r="M554" s="16" t="str">
        <f t="shared" si="94"/>
        <v>Valid</v>
      </c>
      <c r="N554" s="17" t="str">
        <f t="shared" si="95"/>
        <v>Stable/Reducing</v>
      </c>
      <c r="O554" s="16">
        <f t="shared" si="96"/>
        <v>1.125</v>
      </c>
      <c r="P554" s="14">
        <f t="shared" si="98"/>
        <v>2309.4285714285716</v>
      </c>
      <c r="Q554" s="16">
        <f t="shared" si="97"/>
        <v>2918.4580782596145</v>
      </c>
    </row>
    <row r="555" spans="1:17" x14ac:dyDescent="0.3">
      <c r="A555" s="13">
        <v>45760</v>
      </c>
      <c r="B555" s="13" t="str">
        <f t="shared" si="88"/>
        <v>April</v>
      </c>
      <c r="C555" s="13" t="str">
        <f t="shared" si="89"/>
        <v>2025-04</v>
      </c>
      <c r="D555" s="8">
        <v>5</v>
      </c>
      <c r="E555" s="8">
        <v>26</v>
      </c>
      <c r="F555" s="8">
        <v>10</v>
      </c>
      <c r="G555" s="8">
        <v>2283</v>
      </c>
      <c r="H555" s="8">
        <v>3</v>
      </c>
      <c r="I555" s="14">
        <f t="shared" si="90"/>
        <v>2309</v>
      </c>
      <c r="J555" s="14">
        <f t="shared" si="91"/>
        <v>7</v>
      </c>
      <c r="K555" s="15">
        <f t="shared" si="92"/>
        <v>-4.3308791684711995E-4</v>
      </c>
      <c r="L555" s="16" t="str">
        <f t="shared" si="93"/>
        <v>Valid</v>
      </c>
      <c r="M555" s="16" t="str">
        <f t="shared" si="94"/>
        <v>Valid</v>
      </c>
      <c r="N555" s="17" t="str">
        <f t="shared" si="95"/>
        <v>Increasing Pressure</v>
      </c>
      <c r="O555" s="16">
        <f t="shared" si="96"/>
        <v>0.3</v>
      </c>
      <c r="P555" s="14">
        <f t="shared" si="98"/>
        <v>2315.7142857142858</v>
      </c>
      <c r="Q555" s="16">
        <f t="shared" si="97"/>
        <v>2918.4580782596145</v>
      </c>
    </row>
    <row r="556" spans="1:17" x14ac:dyDescent="0.3">
      <c r="A556" s="13">
        <v>45761</v>
      </c>
      <c r="B556" s="13" t="str">
        <f t="shared" si="88"/>
        <v>April</v>
      </c>
      <c r="C556" s="13" t="str">
        <f t="shared" si="89"/>
        <v>2025-04</v>
      </c>
      <c r="D556" s="8">
        <v>5</v>
      </c>
      <c r="E556" s="8">
        <v>26</v>
      </c>
      <c r="F556" s="8">
        <v>9</v>
      </c>
      <c r="G556" s="8">
        <v>2282</v>
      </c>
      <c r="H556" s="8">
        <v>13</v>
      </c>
      <c r="I556" s="14">
        <f t="shared" si="90"/>
        <v>2308</v>
      </c>
      <c r="J556" s="14">
        <f t="shared" si="91"/>
        <v>-4</v>
      </c>
      <c r="K556" s="15">
        <f t="shared" si="92"/>
        <v>-1.2998266897746968E-3</v>
      </c>
      <c r="L556" s="16" t="str">
        <f t="shared" si="93"/>
        <v>Valid</v>
      </c>
      <c r="M556" s="16" t="str">
        <f t="shared" si="94"/>
        <v>Valid</v>
      </c>
      <c r="N556" s="17" t="str">
        <f t="shared" si="95"/>
        <v>Stable/Reducing</v>
      </c>
      <c r="O556" s="16">
        <f t="shared" si="96"/>
        <v>1.4444444444444444</v>
      </c>
      <c r="P556" s="14">
        <f t="shared" si="98"/>
        <v>2317.8571428571427</v>
      </c>
      <c r="Q556" s="16">
        <f t="shared" si="97"/>
        <v>2918.4580782596145</v>
      </c>
    </row>
    <row r="557" spans="1:17" x14ac:dyDescent="0.3">
      <c r="A557" s="13">
        <v>45762</v>
      </c>
      <c r="B557" s="13" t="str">
        <f t="shared" si="88"/>
        <v>April</v>
      </c>
      <c r="C557" s="13" t="str">
        <f t="shared" si="89"/>
        <v>2025-04</v>
      </c>
      <c r="D557" s="8">
        <v>4</v>
      </c>
      <c r="E557" s="8">
        <v>19</v>
      </c>
      <c r="F557" s="8">
        <v>12</v>
      </c>
      <c r="G557" s="8">
        <v>2286</v>
      </c>
      <c r="H557" s="8">
        <v>7</v>
      </c>
      <c r="I557" s="14">
        <f t="shared" si="90"/>
        <v>2305</v>
      </c>
      <c r="J557" s="14">
        <f t="shared" si="91"/>
        <v>5</v>
      </c>
      <c r="K557" s="15">
        <f t="shared" si="92"/>
        <v>6.9414316702819953E-3</v>
      </c>
      <c r="L557" s="16" t="str">
        <f t="shared" si="93"/>
        <v>Valid</v>
      </c>
      <c r="M557" s="16" t="str">
        <f t="shared" si="94"/>
        <v>Valid</v>
      </c>
      <c r="N557" s="17" t="str">
        <f t="shared" si="95"/>
        <v>Increasing Pressure</v>
      </c>
      <c r="O557" s="16">
        <f t="shared" si="96"/>
        <v>0.58333333333333337</v>
      </c>
      <c r="P557" s="14">
        <f t="shared" si="98"/>
        <v>2320</v>
      </c>
      <c r="Q557" s="16">
        <f t="shared" si="97"/>
        <v>2918.4580782596145</v>
      </c>
    </row>
    <row r="558" spans="1:17" x14ac:dyDescent="0.3">
      <c r="A558" s="13">
        <v>45763</v>
      </c>
      <c r="B558" s="13" t="str">
        <f t="shared" si="88"/>
        <v>April</v>
      </c>
      <c r="C558" s="13" t="str">
        <f t="shared" si="89"/>
        <v>2025-04</v>
      </c>
      <c r="D558" s="8">
        <v>11</v>
      </c>
      <c r="E558" s="8">
        <v>30</v>
      </c>
      <c r="F558" s="8">
        <v>5</v>
      </c>
      <c r="G558" s="8">
        <v>2291</v>
      </c>
      <c r="H558" s="8">
        <v>8</v>
      </c>
      <c r="I558" s="14">
        <f t="shared" si="90"/>
        <v>2321</v>
      </c>
      <c r="J558" s="14">
        <f t="shared" si="91"/>
        <v>-3</v>
      </c>
      <c r="K558" s="15">
        <f t="shared" si="92"/>
        <v>-3.0159414045669969E-3</v>
      </c>
      <c r="L558" s="16" t="str">
        <f t="shared" si="93"/>
        <v>Valid</v>
      </c>
      <c r="M558" s="16" t="str">
        <f t="shared" si="94"/>
        <v>Valid</v>
      </c>
      <c r="N558" s="17" t="str">
        <f t="shared" si="95"/>
        <v>Stable/Reducing</v>
      </c>
      <c r="O558" s="16">
        <f t="shared" si="96"/>
        <v>1.6</v>
      </c>
      <c r="P558" s="14">
        <f t="shared" si="98"/>
        <v>2319.7142857142858</v>
      </c>
      <c r="Q558" s="16">
        <f t="shared" si="97"/>
        <v>2918.4580782596145</v>
      </c>
    </row>
    <row r="559" spans="1:17" x14ac:dyDescent="0.3">
      <c r="A559" s="13">
        <v>45764</v>
      </c>
      <c r="B559" s="13" t="str">
        <f t="shared" si="88"/>
        <v>April</v>
      </c>
      <c r="C559" s="13" t="str">
        <f t="shared" si="89"/>
        <v>2025-04</v>
      </c>
      <c r="D559" s="8">
        <v>7</v>
      </c>
      <c r="E559" s="8">
        <v>26</v>
      </c>
      <c r="F559" s="8">
        <v>10</v>
      </c>
      <c r="G559" s="8">
        <v>2288</v>
      </c>
      <c r="H559" s="8">
        <v>14</v>
      </c>
      <c r="I559" s="14">
        <f t="shared" si="90"/>
        <v>2314</v>
      </c>
      <c r="J559" s="14">
        <f t="shared" si="91"/>
        <v>-4</v>
      </c>
      <c r="K559" s="15">
        <f t="shared" si="92"/>
        <v>2.5929127052722557E-3</v>
      </c>
      <c r="L559" s="16" t="str">
        <f t="shared" si="93"/>
        <v>Valid</v>
      </c>
      <c r="M559" s="16" t="str">
        <f t="shared" si="94"/>
        <v>Valid</v>
      </c>
      <c r="N559" s="17" t="str">
        <f t="shared" si="95"/>
        <v>Stable/Reducing</v>
      </c>
      <c r="O559" s="16">
        <f t="shared" si="96"/>
        <v>1.4</v>
      </c>
      <c r="P559" s="14">
        <f t="shared" si="98"/>
        <v>2322.5714285714284</v>
      </c>
      <c r="Q559" s="16">
        <f t="shared" si="97"/>
        <v>2918.4580782596145</v>
      </c>
    </row>
    <row r="560" spans="1:17" x14ac:dyDescent="0.3">
      <c r="A560" s="13">
        <v>45767</v>
      </c>
      <c r="B560" s="13" t="str">
        <f t="shared" si="88"/>
        <v>April</v>
      </c>
      <c r="C560" s="13" t="str">
        <f t="shared" si="89"/>
        <v>2025-04</v>
      </c>
      <c r="D560" s="8">
        <v>4</v>
      </c>
      <c r="E560" s="8">
        <v>15</v>
      </c>
      <c r="F560" s="8">
        <v>6</v>
      </c>
      <c r="G560" s="8">
        <v>2305</v>
      </c>
      <c r="H560" s="8">
        <v>4</v>
      </c>
      <c r="I560" s="14">
        <f t="shared" si="90"/>
        <v>2320</v>
      </c>
      <c r="J560" s="14">
        <f t="shared" si="91"/>
        <v>2</v>
      </c>
      <c r="K560" s="15">
        <f t="shared" si="92"/>
        <v>5.6034482758620689E-3</v>
      </c>
      <c r="L560" s="16" t="str">
        <f t="shared" si="93"/>
        <v>Valid</v>
      </c>
      <c r="M560" s="16" t="str">
        <f t="shared" si="94"/>
        <v>Valid</v>
      </c>
      <c r="N560" s="17" t="str">
        <f t="shared" si="95"/>
        <v>Increasing Pressure</v>
      </c>
      <c r="O560" s="16">
        <f t="shared" si="96"/>
        <v>0.66666666666666663</v>
      </c>
      <c r="P560" s="14">
        <f t="shared" si="98"/>
        <v>2325.2857142857142</v>
      </c>
      <c r="Q560" s="16">
        <f t="shared" si="97"/>
        <v>2918.4580782596145</v>
      </c>
    </row>
    <row r="561" spans="1:17" x14ac:dyDescent="0.3">
      <c r="A561" s="13">
        <v>45768</v>
      </c>
      <c r="B561" s="13" t="str">
        <f t="shared" si="88"/>
        <v>April</v>
      </c>
      <c r="C561" s="13" t="str">
        <f t="shared" si="89"/>
        <v>2025-04</v>
      </c>
      <c r="D561" s="8">
        <v>10</v>
      </c>
      <c r="E561" s="8">
        <v>25</v>
      </c>
      <c r="F561" s="8">
        <v>5</v>
      </c>
      <c r="G561" s="8">
        <v>2308</v>
      </c>
      <c r="H561" s="8">
        <v>6</v>
      </c>
      <c r="I561" s="14">
        <f t="shared" si="90"/>
        <v>2333</v>
      </c>
      <c r="J561" s="14">
        <f t="shared" si="91"/>
        <v>-1</v>
      </c>
      <c r="K561" s="15">
        <f t="shared" si="92"/>
        <v>-3.8576939562794685E-3</v>
      </c>
      <c r="L561" s="16" t="str">
        <f t="shared" si="93"/>
        <v>Valid</v>
      </c>
      <c r="M561" s="16" t="str">
        <f t="shared" si="94"/>
        <v>Valid</v>
      </c>
      <c r="N561" s="17" t="str">
        <f t="shared" si="95"/>
        <v>Stable/Reducing</v>
      </c>
      <c r="O561" s="16">
        <f t="shared" si="96"/>
        <v>1.2</v>
      </c>
      <c r="P561" s="14">
        <f t="shared" si="98"/>
        <v>2326.5714285714284</v>
      </c>
      <c r="Q561" s="16">
        <f t="shared" si="97"/>
        <v>2918.4580782596145</v>
      </c>
    </row>
    <row r="562" spans="1:17" x14ac:dyDescent="0.3">
      <c r="A562" s="13">
        <v>45769</v>
      </c>
      <c r="B562" s="13" t="str">
        <f t="shared" si="88"/>
        <v>April</v>
      </c>
      <c r="C562" s="13" t="str">
        <f t="shared" si="89"/>
        <v>2025-04</v>
      </c>
      <c r="D562" s="8">
        <v>7</v>
      </c>
      <c r="E562" s="8">
        <v>19</v>
      </c>
      <c r="F562" s="8">
        <v>14</v>
      </c>
      <c r="G562" s="8">
        <v>2305</v>
      </c>
      <c r="H562" s="8">
        <v>17</v>
      </c>
      <c r="I562" s="14">
        <f t="shared" si="90"/>
        <v>2324</v>
      </c>
      <c r="J562" s="14">
        <f t="shared" si="91"/>
        <v>-3</v>
      </c>
      <c r="K562" s="15">
        <f t="shared" si="92"/>
        <v>-4.3029259896729778E-4</v>
      </c>
      <c r="L562" s="16" t="str">
        <f t="shared" si="93"/>
        <v>Valid</v>
      </c>
      <c r="M562" s="16" t="str">
        <f t="shared" si="94"/>
        <v>Valid</v>
      </c>
      <c r="N562" s="17" t="str">
        <f t="shared" si="95"/>
        <v>Stable/Reducing</v>
      </c>
      <c r="O562" s="16">
        <f t="shared" si="96"/>
        <v>1.2142857142857142</v>
      </c>
      <c r="P562" s="14">
        <f t="shared" si="98"/>
        <v>2328</v>
      </c>
      <c r="Q562" s="16">
        <f t="shared" si="97"/>
        <v>2918.4580782596145</v>
      </c>
    </row>
    <row r="563" spans="1:17" x14ac:dyDescent="0.3">
      <c r="A563" s="13">
        <v>45770</v>
      </c>
      <c r="B563" s="13" t="str">
        <f t="shared" si="88"/>
        <v>April</v>
      </c>
      <c r="C563" s="13" t="str">
        <f t="shared" si="89"/>
        <v>2025-04</v>
      </c>
      <c r="D563" s="8">
        <v>3</v>
      </c>
      <c r="E563" s="8">
        <v>23</v>
      </c>
      <c r="F563" s="8">
        <v>4</v>
      </c>
      <c r="G563" s="8">
        <v>2300</v>
      </c>
      <c r="H563" s="8">
        <v>11</v>
      </c>
      <c r="I563" s="14">
        <f t="shared" si="90"/>
        <v>2323</v>
      </c>
      <c r="J563" s="14">
        <f t="shared" si="91"/>
        <v>-7</v>
      </c>
      <c r="K563" s="15">
        <f t="shared" si="92"/>
        <v>-8.6095566078346966E-3</v>
      </c>
      <c r="L563" s="16" t="str">
        <f t="shared" si="93"/>
        <v>Valid</v>
      </c>
      <c r="M563" s="16" t="str">
        <f t="shared" si="94"/>
        <v>Valid</v>
      </c>
      <c r="N563" s="17" t="str">
        <f t="shared" si="95"/>
        <v>Stable/Reducing</v>
      </c>
      <c r="O563" s="16">
        <f t="shared" si="96"/>
        <v>2.75</v>
      </c>
      <c r="P563" s="14">
        <f t="shared" si="98"/>
        <v>2330</v>
      </c>
      <c r="Q563" s="16">
        <f t="shared" si="97"/>
        <v>2918.4580782596145</v>
      </c>
    </row>
    <row r="564" spans="1:17" x14ac:dyDescent="0.3">
      <c r="A564" s="13">
        <v>45771</v>
      </c>
      <c r="B564" s="13" t="str">
        <f t="shared" si="88"/>
        <v>April</v>
      </c>
      <c r="C564" s="13" t="str">
        <f t="shared" si="89"/>
        <v>2025-04</v>
      </c>
      <c r="D564" s="8">
        <v>3</v>
      </c>
      <c r="E564" s="8">
        <v>9</v>
      </c>
      <c r="F564" s="8">
        <v>7</v>
      </c>
      <c r="G564" s="8">
        <v>2294</v>
      </c>
      <c r="H564" s="8">
        <v>13</v>
      </c>
      <c r="I564" s="14">
        <f t="shared" si="90"/>
        <v>2303</v>
      </c>
      <c r="J564" s="14">
        <f t="shared" si="91"/>
        <v>-6</v>
      </c>
      <c r="K564" s="15">
        <f t="shared" si="92"/>
        <v>1.6500217108119844E-2</v>
      </c>
      <c r="L564" s="16" t="str">
        <f t="shared" si="93"/>
        <v>Valid</v>
      </c>
      <c r="M564" s="16" t="str">
        <f t="shared" si="94"/>
        <v>Valid</v>
      </c>
      <c r="N564" s="17" t="str">
        <f t="shared" si="95"/>
        <v>Stable/Reducing</v>
      </c>
      <c r="O564" s="16">
        <f t="shared" si="96"/>
        <v>1.8571428571428572</v>
      </c>
      <c r="P564" s="14">
        <f t="shared" si="98"/>
        <v>2336.1428571428573</v>
      </c>
      <c r="Q564" s="16">
        <f t="shared" si="97"/>
        <v>2918.4580782596145</v>
      </c>
    </row>
    <row r="565" spans="1:17" x14ac:dyDescent="0.3">
      <c r="A565" s="13">
        <v>45774</v>
      </c>
      <c r="B565" s="13" t="str">
        <f t="shared" si="88"/>
        <v>April</v>
      </c>
      <c r="C565" s="13" t="str">
        <f t="shared" si="89"/>
        <v>2025-04</v>
      </c>
      <c r="D565" s="8">
        <v>9</v>
      </c>
      <c r="E565" s="8">
        <v>40</v>
      </c>
      <c r="F565" s="8">
        <v>12</v>
      </c>
      <c r="G565" s="8">
        <v>2301</v>
      </c>
      <c r="H565" s="8">
        <v>4</v>
      </c>
      <c r="I565" s="14">
        <f t="shared" si="90"/>
        <v>2341</v>
      </c>
      <c r="J565" s="14">
        <f t="shared" si="91"/>
        <v>8</v>
      </c>
      <c r="K565" s="15">
        <f t="shared" si="92"/>
        <v>-3.4173430158052115E-3</v>
      </c>
      <c r="L565" s="16" t="str">
        <f t="shared" si="93"/>
        <v>Valid</v>
      </c>
      <c r="M565" s="16" t="str">
        <f t="shared" si="94"/>
        <v>Valid</v>
      </c>
      <c r="N565" s="17" t="str">
        <f t="shared" si="95"/>
        <v>Increasing Pressure</v>
      </c>
      <c r="O565" s="16">
        <f t="shared" si="96"/>
        <v>0.33333333333333331</v>
      </c>
      <c r="P565" s="14">
        <f t="shared" si="98"/>
        <v>2346.4285714285716</v>
      </c>
      <c r="Q565" s="16">
        <f t="shared" si="97"/>
        <v>2918.4580782596145</v>
      </c>
    </row>
    <row r="566" spans="1:17" x14ac:dyDescent="0.3">
      <c r="A566" s="13">
        <v>45775</v>
      </c>
      <c r="B566" s="13" t="str">
        <f t="shared" si="88"/>
        <v>April</v>
      </c>
      <c r="C566" s="13" t="str">
        <f t="shared" si="89"/>
        <v>2025-04</v>
      </c>
      <c r="D566" s="8">
        <v>6</v>
      </c>
      <c r="E566" s="8">
        <v>26</v>
      </c>
      <c r="F566" s="8">
        <v>12</v>
      </c>
      <c r="G566" s="8">
        <v>2307</v>
      </c>
      <c r="H566" s="8">
        <v>8</v>
      </c>
      <c r="I566" s="14">
        <f t="shared" si="90"/>
        <v>2333</v>
      </c>
      <c r="J566" s="14">
        <f t="shared" si="91"/>
        <v>4</v>
      </c>
      <c r="K566" s="15">
        <f t="shared" si="92"/>
        <v>-1.7145306472353193E-3</v>
      </c>
      <c r="L566" s="16" t="str">
        <f t="shared" si="93"/>
        <v>Valid</v>
      </c>
      <c r="M566" s="16" t="str">
        <f t="shared" si="94"/>
        <v>Valid</v>
      </c>
      <c r="N566" s="17" t="str">
        <f t="shared" si="95"/>
        <v>Increasing Pressure</v>
      </c>
      <c r="O566" s="16">
        <f t="shared" si="96"/>
        <v>0.66666666666666663</v>
      </c>
      <c r="P566" s="14">
        <f t="shared" si="98"/>
        <v>2350.8571428571427</v>
      </c>
      <c r="Q566" s="16">
        <f t="shared" si="97"/>
        <v>2918.4580782596145</v>
      </c>
    </row>
    <row r="567" spans="1:17" x14ac:dyDescent="0.3">
      <c r="A567" s="13">
        <v>45776</v>
      </c>
      <c r="B567" s="13" t="str">
        <f t="shared" si="88"/>
        <v>April</v>
      </c>
      <c r="C567" s="13" t="str">
        <f t="shared" si="89"/>
        <v>2025-04</v>
      </c>
      <c r="D567" s="8">
        <v>11</v>
      </c>
      <c r="E567" s="8">
        <v>25</v>
      </c>
      <c r="F567" s="8">
        <v>11</v>
      </c>
      <c r="G567" s="8">
        <v>2304</v>
      </c>
      <c r="H567" s="8">
        <v>15</v>
      </c>
      <c r="I567" s="14">
        <f t="shared" si="90"/>
        <v>2329</v>
      </c>
      <c r="J567" s="14">
        <f t="shared" si="91"/>
        <v>-4</v>
      </c>
      <c r="K567" s="15">
        <f t="shared" si="92"/>
        <v>6.0111635895234005E-3</v>
      </c>
      <c r="L567" s="16" t="str">
        <f t="shared" si="93"/>
        <v>Valid</v>
      </c>
      <c r="M567" s="16" t="str">
        <f t="shared" si="94"/>
        <v>Valid</v>
      </c>
      <c r="N567" s="17" t="str">
        <f t="shared" si="95"/>
        <v>Stable/Reducing</v>
      </c>
      <c r="O567" s="16">
        <f t="shared" si="96"/>
        <v>1.3636363636363635</v>
      </c>
      <c r="P567" s="14">
        <f t="shared" si="98"/>
        <v>2355.4285714285716</v>
      </c>
      <c r="Q567" s="16">
        <f t="shared" si="97"/>
        <v>2918.4580782596145</v>
      </c>
    </row>
    <row r="568" spans="1:17" x14ac:dyDescent="0.3">
      <c r="A568" s="13">
        <v>45777</v>
      </c>
      <c r="B568" s="13" t="str">
        <f t="shared" si="88"/>
        <v>April</v>
      </c>
      <c r="C568" s="13" t="str">
        <f t="shared" si="89"/>
        <v>2025-04</v>
      </c>
      <c r="D568" s="8">
        <v>7</v>
      </c>
      <c r="E568" s="8">
        <v>34</v>
      </c>
      <c r="F568" s="8">
        <v>9</v>
      </c>
      <c r="G568" s="8">
        <v>2309</v>
      </c>
      <c r="H568" s="8">
        <v>12</v>
      </c>
      <c r="I568" s="14">
        <f t="shared" si="90"/>
        <v>2343</v>
      </c>
      <c r="J568" s="14">
        <f t="shared" si="91"/>
        <v>-3</v>
      </c>
      <c r="K568" s="15">
        <f t="shared" si="92"/>
        <v>-2.134016218523261E-3</v>
      </c>
      <c r="L568" s="16" t="str">
        <f t="shared" si="93"/>
        <v>Valid</v>
      </c>
      <c r="M568" s="16" t="str">
        <f t="shared" si="94"/>
        <v>Valid</v>
      </c>
      <c r="N568" s="17" t="str">
        <f t="shared" si="95"/>
        <v>Stable/Reducing</v>
      </c>
      <c r="O568" s="16">
        <f t="shared" si="96"/>
        <v>1.3333333333333333</v>
      </c>
      <c r="P568" s="14">
        <f t="shared" si="98"/>
        <v>2363.4285714285716</v>
      </c>
      <c r="Q568" s="16">
        <f t="shared" si="97"/>
        <v>2918.4580782596145</v>
      </c>
    </row>
    <row r="569" spans="1:17" x14ac:dyDescent="0.3">
      <c r="A569" s="13">
        <v>45778</v>
      </c>
      <c r="B569" s="13" t="str">
        <f t="shared" si="88"/>
        <v>May</v>
      </c>
      <c r="C569" s="13" t="str">
        <f t="shared" si="89"/>
        <v>2025-05</v>
      </c>
      <c r="D569" s="8">
        <v>13</v>
      </c>
      <c r="E569" s="8">
        <v>32</v>
      </c>
      <c r="F569" s="8">
        <v>14</v>
      </c>
      <c r="G569" s="8">
        <v>2306</v>
      </c>
      <c r="H569" s="8">
        <v>16</v>
      </c>
      <c r="I569" s="14">
        <f t="shared" si="90"/>
        <v>2338</v>
      </c>
      <c r="J569" s="14">
        <f t="shared" si="91"/>
        <v>-2</v>
      </c>
      <c r="K569" s="15">
        <f t="shared" si="92"/>
        <v>1.1976047904191617E-2</v>
      </c>
      <c r="L569" s="16" t="str">
        <f t="shared" si="93"/>
        <v>Valid</v>
      </c>
      <c r="M569" s="16" t="str">
        <f t="shared" si="94"/>
        <v>Valid</v>
      </c>
      <c r="N569" s="17" t="str">
        <f t="shared" si="95"/>
        <v>Stable/Reducing</v>
      </c>
      <c r="O569" s="16">
        <f t="shared" si="96"/>
        <v>1.1428571428571428</v>
      </c>
      <c r="P569" s="14">
        <f t="shared" si="98"/>
        <v>2372.2857142857142</v>
      </c>
      <c r="Q569" s="16">
        <f t="shared" si="97"/>
        <v>2918.4580782596145</v>
      </c>
    </row>
    <row r="570" spans="1:17" x14ac:dyDescent="0.3">
      <c r="A570" s="13">
        <v>45781</v>
      </c>
      <c r="B570" s="13" t="str">
        <f t="shared" si="88"/>
        <v>May</v>
      </c>
      <c r="C570" s="13" t="str">
        <f t="shared" si="89"/>
        <v>2025-05</v>
      </c>
      <c r="D570" s="8">
        <v>9</v>
      </c>
      <c r="E570" s="8">
        <v>31</v>
      </c>
      <c r="F570" s="8">
        <v>10</v>
      </c>
      <c r="G570" s="8">
        <v>2335</v>
      </c>
      <c r="H570" s="8">
        <v>5</v>
      </c>
      <c r="I570" s="14">
        <f t="shared" si="90"/>
        <v>2366</v>
      </c>
      <c r="J570" s="14">
        <f t="shared" si="91"/>
        <v>5</v>
      </c>
      <c r="K570" s="15">
        <f t="shared" si="92"/>
        <v>3.8038884192730348E-3</v>
      </c>
      <c r="L570" s="16" t="str">
        <f t="shared" si="93"/>
        <v>Valid</v>
      </c>
      <c r="M570" s="16" t="str">
        <f t="shared" si="94"/>
        <v>Valid</v>
      </c>
      <c r="N570" s="17" t="str">
        <f t="shared" si="95"/>
        <v>Increasing Pressure</v>
      </c>
      <c r="O570" s="16">
        <f t="shared" si="96"/>
        <v>0.5</v>
      </c>
      <c r="P570" s="14">
        <f t="shared" si="98"/>
        <v>2384.7142857142858</v>
      </c>
      <c r="Q570" s="16">
        <f t="shared" si="97"/>
        <v>2918.4580782596145</v>
      </c>
    </row>
    <row r="571" spans="1:17" x14ac:dyDescent="0.3">
      <c r="A571" s="13">
        <v>45782</v>
      </c>
      <c r="B571" s="13" t="str">
        <f t="shared" si="88"/>
        <v>May</v>
      </c>
      <c r="C571" s="13" t="str">
        <f t="shared" si="89"/>
        <v>2025-05</v>
      </c>
      <c r="D571" s="8">
        <v>15</v>
      </c>
      <c r="E571" s="8">
        <v>44</v>
      </c>
      <c r="F571" s="8">
        <v>20</v>
      </c>
      <c r="G571" s="8">
        <v>2331</v>
      </c>
      <c r="H571" s="8">
        <v>17</v>
      </c>
      <c r="I571" s="14">
        <f t="shared" si="90"/>
        <v>2375</v>
      </c>
      <c r="J571" s="14">
        <f t="shared" si="91"/>
        <v>3</v>
      </c>
      <c r="K571" s="15">
        <f t="shared" si="92"/>
        <v>-1.2631578947368421E-3</v>
      </c>
      <c r="L571" s="16" t="str">
        <f t="shared" si="93"/>
        <v>Valid</v>
      </c>
      <c r="M571" s="16" t="str">
        <f t="shared" si="94"/>
        <v>Valid</v>
      </c>
      <c r="N571" s="17" t="str">
        <f t="shared" si="95"/>
        <v>Increasing Pressure</v>
      </c>
      <c r="O571" s="16">
        <f t="shared" si="96"/>
        <v>0.85</v>
      </c>
      <c r="P571" s="14">
        <f t="shared" si="98"/>
        <v>2392.8571428571427</v>
      </c>
      <c r="Q571" s="16">
        <f t="shared" si="97"/>
        <v>2918.4580782596145</v>
      </c>
    </row>
    <row r="572" spans="1:17" x14ac:dyDescent="0.3">
      <c r="A572" s="13">
        <v>45783</v>
      </c>
      <c r="B572" s="13" t="str">
        <f t="shared" si="88"/>
        <v>May</v>
      </c>
      <c r="C572" s="13" t="str">
        <f t="shared" si="89"/>
        <v>2025-05</v>
      </c>
      <c r="D572" s="8">
        <v>10</v>
      </c>
      <c r="E572" s="8">
        <v>33</v>
      </c>
      <c r="F572" s="8">
        <v>16</v>
      </c>
      <c r="G572" s="8">
        <v>2339</v>
      </c>
      <c r="H572" s="8">
        <v>16</v>
      </c>
      <c r="I572" s="14">
        <f t="shared" si="90"/>
        <v>2372</v>
      </c>
      <c r="J572" s="14">
        <f t="shared" si="91"/>
        <v>0</v>
      </c>
      <c r="K572" s="15">
        <f t="shared" si="92"/>
        <v>-2.951096121416526E-3</v>
      </c>
      <c r="L572" s="16" t="str">
        <f t="shared" si="93"/>
        <v>Valid</v>
      </c>
      <c r="M572" s="16" t="str">
        <f t="shared" si="94"/>
        <v>Valid</v>
      </c>
      <c r="N572" s="17" t="str">
        <f t="shared" si="95"/>
        <v>Stable/Reducing</v>
      </c>
      <c r="O572" s="16">
        <f t="shared" si="96"/>
        <v>1</v>
      </c>
      <c r="P572" s="14">
        <f t="shared" si="98"/>
        <v>2399.8571428571427</v>
      </c>
      <c r="Q572" s="16">
        <f t="shared" si="97"/>
        <v>2918.4580782596145</v>
      </c>
    </row>
    <row r="573" spans="1:17" x14ac:dyDescent="0.3">
      <c r="A573" s="13">
        <v>45784</v>
      </c>
      <c r="B573" s="13" t="str">
        <f t="shared" si="88"/>
        <v>May</v>
      </c>
      <c r="C573" s="13" t="str">
        <f t="shared" si="89"/>
        <v>2025-05</v>
      </c>
      <c r="D573" s="8">
        <v>10</v>
      </c>
      <c r="E573" s="8">
        <v>30</v>
      </c>
      <c r="F573" s="8">
        <v>15</v>
      </c>
      <c r="G573" s="8">
        <v>2335</v>
      </c>
      <c r="H573" s="8">
        <v>10</v>
      </c>
      <c r="I573" s="14">
        <f t="shared" si="90"/>
        <v>2365</v>
      </c>
      <c r="J573" s="14">
        <f t="shared" si="91"/>
        <v>5</v>
      </c>
      <c r="K573" s="15">
        <f t="shared" si="92"/>
        <v>8.4566596194503175E-3</v>
      </c>
      <c r="L573" s="16" t="str">
        <f t="shared" si="93"/>
        <v>Valid</v>
      </c>
      <c r="M573" s="16" t="str">
        <f t="shared" si="94"/>
        <v>Valid</v>
      </c>
      <c r="N573" s="17" t="str">
        <f t="shared" si="95"/>
        <v>Increasing Pressure</v>
      </c>
      <c r="O573" s="16">
        <f t="shared" si="96"/>
        <v>0.66666666666666663</v>
      </c>
      <c r="P573" s="14">
        <f t="shared" si="98"/>
        <v>2409.7142857142858</v>
      </c>
      <c r="Q573" s="16">
        <f t="shared" si="97"/>
        <v>2918.4580782596145</v>
      </c>
    </row>
    <row r="574" spans="1:17" x14ac:dyDescent="0.3">
      <c r="A574" s="13">
        <v>45785</v>
      </c>
      <c r="B574" s="13" t="str">
        <f t="shared" si="88"/>
        <v>May</v>
      </c>
      <c r="C574" s="13" t="str">
        <f t="shared" si="89"/>
        <v>2025-05</v>
      </c>
      <c r="D574" s="8">
        <v>15</v>
      </c>
      <c r="E574" s="8">
        <v>24</v>
      </c>
      <c r="F574" s="8">
        <v>16</v>
      </c>
      <c r="G574" s="8">
        <v>2361</v>
      </c>
      <c r="H574" s="8">
        <v>11</v>
      </c>
      <c r="I574" s="14">
        <f t="shared" si="90"/>
        <v>2385</v>
      </c>
      <c r="J574" s="14">
        <f t="shared" si="91"/>
        <v>5</v>
      </c>
      <c r="K574" s="15">
        <f t="shared" si="92"/>
        <v>8.385744234800839E-3</v>
      </c>
      <c r="L574" s="16" t="str">
        <f t="shared" si="93"/>
        <v>Valid</v>
      </c>
      <c r="M574" s="16" t="str">
        <f t="shared" si="94"/>
        <v>Valid</v>
      </c>
      <c r="N574" s="17" t="str">
        <f t="shared" si="95"/>
        <v>Increasing Pressure</v>
      </c>
      <c r="O574" s="16">
        <f t="shared" si="96"/>
        <v>0.6875</v>
      </c>
      <c r="P574" s="14">
        <f t="shared" si="98"/>
        <v>2424</v>
      </c>
      <c r="Q574" s="16">
        <f t="shared" si="97"/>
        <v>2918.4580782596145</v>
      </c>
    </row>
    <row r="575" spans="1:17" x14ac:dyDescent="0.3">
      <c r="A575" s="13">
        <v>45788</v>
      </c>
      <c r="B575" s="13" t="str">
        <f t="shared" si="88"/>
        <v>May</v>
      </c>
      <c r="C575" s="13" t="str">
        <f t="shared" si="89"/>
        <v>2025-05</v>
      </c>
      <c r="D575" s="8">
        <v>15</v>
      </c>
      <c r="E575" s="8">
        <v>20</v>
      </c>
      <c r="F575" s="8">
        <v>12</v>
      </c>
      <c r="G575" s="8">
        <v>2385</v>
      </c>
      <c r="H575" s="8">
        <v>3</v>
      </c>
      <c r="I575" s="14">
        <f t="shared" si="90"/>
        <v>2405</v>
      </c>
      <c r="J575" s="14">
        <f t="shared" si="91"/>
        <v>9</v>
      </c>
      <c r="K575" s="15">
        <f t="shared" si="92"/>
        <v>8.3160083160083165E-3</v>
      </c>
      <c r="L575" s="16" t="str">
        <f t="shared" si="93"/>
        <v>Valid</v>
      </c>
      <c r="M575" s="16" t="str">
        <f t="shared" si="94"/>
        <v>Valid</v>
      </c>
      <c r="N575" s="17" t="str">
        <f t="shared" si="95"/>
        <v>Increasing Pressure</v>
      </c>
      <c r="O575" s="16">
        <f t="shared" si="96"/>
        <v>0.25</v>
      </c>
      <c r="P575" s="14">
        <f t="shared" si="98"/>
        <v>2438.1428571428573</v>
      </c>
      <c r="Q575" s="16">
        <f t="shared" si="97"/>
        <v>2918.4580782596145</v>
      </c>
    </row>
    <row r="576" spans="1:17" x14ac:dyDescent="0.3">
      <c r="A576" s="13">
        <v>45789</v>
      </c>
      <c r="B576" s="13" t="str">
        <f t="shared" si="88"/>
        <v>May</v>
      </c>
      <c r="C576" s="13" t="str">
        <f t="shared" si="89"/>
        <v>2025-05</v>
      </c>
      <c r="D576" s="8">
        <v>7</v>
      </c>
      <c r="E576" s="8">
        <v>33</v>
      </c>
      <c r="F576" s="8">
        <v>14</v>
      </c>
      <c r="G576" s="8">
        <v>2392</v>
      </c>
      <c r="H576" s="8">
        <v>7</v>
      </c>
      <c r="I576" s="14">
        <f t="shared" si="90"/>
        <v>2425</v>
      </c>
      <c r="J576" s="14">
        <f t="shared" si="91"/>
        <v>7</v>
      </c>
      <c r="K576" s="15">
        <f t="shared" si="92"/>
        <v>-8.2474226804123715E-4</v>
      </c>
      <c r="L576" s="16" t="str">
        <f t="shared" si="93"/>
        <v>Valid</v>
      </c>
      <c r="M576" s="16" t="str">
        <f t="shared" si="94"/>
        <v>Valid</v>
      </c>
      <c r="N576" s="17" t="str">
        <f t="shared" si="95"/>
        <v>Increasing Pressure</v>
      </c>
      <c r="O576" s="16">
        <f t="shared" si="96"/>
        <v>0.5</v>
      </c>
      <c r="P576" s="14">
        <f t="shared" si="98"/>
        <v>2455.8571428571427</v>
      </c>
      <c r="Q576" s="16">
        <f t="shared" si="97"/>
        <v>2918.4580782596145</v>
      </c>
    </row>
    <row r="577" spans="1:17" x14ac:dyDescent="0.3">
      <c r="A577" s="13">
        <v>45790</v>
      </c>
      <c r="B577" s="13" t="str">
        <f t="shared" si="88"/>
        <v>May</v>
      </c>
      <c r="C577" s="13" t="str">
        <f t="shared" si="89"/>
        <v>2025-05</v>
      </c>
      <c r="D577" s="8">
        <v>18</v>
      </c>
      <c r="E577" s="8">
        <v>29</v>
      </c>
      <c r="F577" s="8">
        <v>12</v>
      </c>
      <c r="G577" s="8">
        <v>2394</v>
      </c>
      <c r="H577" s="8">
        <v>11</v>
      </c>
      <c r="I577" s="14">
        <f t="shared" si="90"/>
        <v>2423</v>
      </c>
      <c r="J577" s="14">
        <f t="shared" si="91"/>
        <v>1</v>
      </c>
      <c r="K577" s="15">
        <f t="shared" si="92"/>
        <v>4.127115146512588E-4</v>
      </c>
      <c r="L577" s="16" t="str">
        <f t="shared" si="93"/>
        <v>Valid</v>
      </c>
      <c r="M577" s="16" t="str">
        <f t="shared" si="94"/>
        <v>Valid</v>
      </c>
      <c r="N577" s="17" t="str">
        <f t="shared" si="95"/>
        <v>Increasing Pressure</v>
      </c>
      <c r="O577" s="16">
        <f t="shared" si="96"/>
        <v>0.91666666666666663</v>
      </c>
      <c r="P577" s="14">
        <f t="shared" si="98"/>
        <v>2467.8571428571427</v>
      </c>
      <c r="Q577" s="16">
        <f t="shared" si="97"/>
        <v>2918.4580782596145</v>
      </c>
    </row>
    <row r="578" spans="1:17" x14ac:dyDescent="0.3">
      <c r="A578" s="13">
        <v>45791</v>
      </c>
      <c r="B578" s="13" t="str">
        <f t="shared" ref="B578:B641" si="99">TEXT(A578, "mmmm")</f>
        <v>May</v>
      </c>
      <c r="C578" s="13" t="str">
        <f t="shared" ref="C578:C641" si="100">TEXT(A578, "yyyy-mm")</f>
        <v>2025-05</v>
      </c>
      <c r="D578" s="8">
        <v>7</v>
      </c>
      <c r="E578" s="8">
        <v>30</v>
      </c>
      <c r="F578" s="8">
        <v>14</v>
      </c>
      <c r="G578" s="8">
        <v>2394</v>
      </c>
      <c r="H578" s="8">
        <v>11</v>
      </c>
      <c r="I578" s="14">
        <f t="shared" ref="I578:I641" si="101">SUM(G578+E578)</f>
        <v>2424</v>
      </c>
      <c r="J578" s="14">
        <f t="shared" ref="J578:J641" si="102">F578-H578</f>
        <v>3</v>
      </c>
      <c r="K578" s="15">
        <f t="shared" ref="K578:K641" si="103">(I579-I578)/I578</f>
        <v>7.0132013201320131E-3</v>
      </c>
      <c r="L578" s="16" t="str">
        <f t="shared" ref="L578:L641" si="104">IF(F578&lt;=E578, "Valid", "Invalid")</f>
        <v>Valid</v>
      </c>
      <c r="M578" s="16" t="str">
        <f t="shared" ref="M578:M641" si="105">IF(H578&lt;=G578, "Valid", "Invalid")</f>
        <v>Valid</v>
      </c>
      <c r="N578" s="17" t="str">
        <f t="shared" ref="N578:N641" si="106">IF(J578&gt;0, "Increasing Pressure", "Stable/Reducing")</f>
        <v>Increasing Pressure</v>
      </c>
      <c r="O578" s="16">
        <f t="shared" ref="O578:O641" si="107">IFERROR(H578/F578, 0)</f>
        <v>0.7857142857142857</v>
      </c>
      <c r="P578" s="14">
        <f t="shared" si="98"/>
        <v>2482.8571428571427</v>
      </c>
      <c r="Q578" s="16">
        <f t="shared" ref="Q578:Q641" si="108">_xlfn.STDEV.S(I:I)</f>
        <v>2918.4580782596145</v>
      </c>
    </row>
    <row r="579" spans="1:17" x14ac:dyDescent="0.3">
      <c r="A579" s="13">
        <v>45792</v>
      </c>
      <c r="B579" s="13" t="str">
        <f t="shared" si="99"/>
        <v>May</v>
      </c>
      <c r="C579" s="13" t="str">
        <f t="shared" si="100"/>
        <v>2025-05</v>
      </c>
      <c r="D579" s="8">
        <v>15</v>
      </c>
      <c r="E579" s="8">
        <v>31</v>
      </c>
      <c r="F579" s="8">
        <v>14</v>
      </c>
      <c r="G579" s="8">
        <v>2410</v>
      </c>
      <c r="H579" s="8">
        <v>14</v>
      </c>
      <c r="I579" s="14">
        <f t="shared" si="101"/>
        <v>2441</v>
      </c>
      <c r="J579" s="14">
        <f t="shared" si="102"/>
        <v>0</v>
      </c>
      <c r="K579" s="15">
        <f t="shared" si="103"/>
        <v>9.8320360507988536E-3</v>
      </c>
      <c r="L579" s="16" t="str">
        <f t="shared" si="104"/>
        <v>Valid</v>
      </c>
      <c r="M579" s="16" t="str">
        <f t="shared" si="105"/>
        <v>Valid</v>
      </c>
      <c r="N579" s="17" t="str">
        <f t="shared" si="106"/>
        <v>Stable/Reducing</v>
      </c>
      <c r="O579" s="16">
        <f t="shared" si="107"/>
        <v>1</v>
      </c>
      <c r="P579" s="14">
        <f t="shared" ref="P579:P642" si="109">AVERAGE(I579:I585)</f>
        <v>2499.1428571428573</v>
      </c>
      <c r="Q579" s="16">
        <f t="shared" si="108"/>
        <v>2918.4580782596145</v>
      </c>
    </row>
    <row r="580" spans="1:17" x14ac:dyDescent="0.3">
      <c r="A580" s="13">
        <v>45795</v>
      </c>
      <c r="B580" s="13" t="str">
        <f t="shared" si="99"/>
        <v>May</v>
      </c>
      <c r="C580" s="13" t="str">
        <f t="shared" si="100"/>
        <v>2025-05</v>
      </c>
      <c r="D580" s="8">
        <v>13</v>
      </c>
      <c r="E580" s="8">
        <v>28</v>
      </c>
      <c r="F580" s="8">
        <v>14</v>
      </c>
      <c r="G580" s="8">
        <v>2437</v>
      </c>
      <c r="H580" s="8">
        <v>9</v>
      </c>
      <c r="I580" s="14">
        <f t="shared" si="101"/>
        <v>2465</v>
      </c>
      <c r="J580" s="14">
        <f t="shared" si="102"/>
        <v>5</v>
      </c>
      <c r="K580" s="15">
        <f t="shared" si="103"/>
        <v>7.7079107505070993E-3</v>
      </c>
      <c r="L580" s="16" t="str">
        <f t="shared" si="104"/>
        <v>Valid</v>
      </c>
      <c r="M580" s="16" t="str">
        <f t="shared" si="105"/>
        <v>Valid</v>
      </c>
      <c r="N580" s="17" t="str">
        <f t="shared" si="106"/>
        <v>Increasing Pressure</v>
      </c>
      <c r="O580" s="16">
        <f t="shared" si="107"/>
        <v>0.6428571428571429</v>
      </c>
      <c r="P580" s="14">
        <f t="shared" si="109"/>
        <v>2513.8571428571427</v>
      </c>
      <c r="Q580" s="16">
        <f t="shared" si="108"/>
        <v>2918.4580782596145</v>
      </c>
    </row>
    <row r="581" spans="1:17" x14ac:dyDescent="0.3">
      <c r="A581" s="13">
        <v>45796</v>
      </c>
      <c r="B581" s="13" t="str">
        <f t="shared" si="99"/>
        <v>May</v>
      </c>
      <c r="C581" s="13" t="str">
        <f t="shared" si="100"/>
        <v>2025-05</v>
      </c>
      <c r="D581" s="8">
        <v>7</v>
      </c>
      <c r="E581" s="8">
        <v>27</v>
      </c>
      <c r="F581" s="8">
        <v>17</v>
      </c>
      <c r="G581" s="8">
        <v>2457</v>
      </c>
      <c r="H581" s="8">
        <v>6</v>
      </c>
      <c r="I581" s="14">
        <f t="shared" si="101"/>
        <v>2484</v>
      </c>
      <c r="J581" s="14">
        <f t="shared" si="102"/>
        <v>11</v>
      </c>
      <c r="K581" s="15">
        <f t="shared" si="103"/>
        <v>1.8115942028985508E-2</v>
      </c>
      <c r="L581" s="16" t="str">
        <f t="shared" si="104"/>
        <v>Valid</v>
      </c>
      <c r="M581" s="16" t="str">
        <f t="shared" si="105"/>
        <v>Valid</v>
      </c>
      <c r="N581" s="17" t="str">
        <f t="shared" si="106"/>
        <v>Increasing Pressure</v>
      </c>
      <c r="O581" s="16">
        <f t="shared" si="107"/>
        <v>0.35294117647058826</v>
      </c>
      <c r="P581" s="14">
        <f t="shared" si="109"/>
        <v>2526.2857142857142</v>
      </c>
      <c r="Q581" s="16">
        <f t="shared" si="108"/>
        <v>2918.4580782596145</v>
      </c>
    </row>
    <row r="582" spans="1:17" x14ac:dyDescent="0.3">
      <c r="A582" s="13">
        <v>45798</v>
      </c>
      <c r="B582" s="13" t="str">
        <f t="shared" si="99"/>
        <v>May</v>
      </c>
      <c r="C582" s="13" t="str">
        <f t="shared" si="100"/>
        <v>2025-05</v>
      </c>
      <c r="D582" s="8">
        <v>14</v>
      </c>
      <c r="E582" s="8">
        <v>62</v>
      </c>
      <c r="F582" s="8">
        <v>13</v>
      </c>
      <c r="G582" s="8">
        <v>2467</v>
      </c>
      <c r="H582" s="8">
        <v>18</v>
      </c>
      <c r="I582" s="14">
        <f t="shared" si="101"/>
        <v>2529</v>
      </c>
      <c r="J582" s="14">
        <f t="shared" si="102"/>
        <v>-5</v>
      </c>
      <c r="K582" s="15">
        <f t="shared" si="103"/>
        <v>-7.9082641360221431E-3</v>
      </c>
      <c r="L582" s="16" t="str">
        <f t="shared" si="104"/>
        <v>Valid</v>
      </c>
      <c r="M582" s="16" t="str">
        <f t="shared" si="105"/>
        <v>Valid</v>
      </c>
      <c r="N582" s="17" t="str">
        <f t="shared" si="106"/>
        <v>Stable/Reducing</v>
      </c>
      <c r="O582" s="16">
        <f t="shared" si="107"/>
        <v>1.3846153846153846</v>
      </c>
      <c r="P582" s="14">
        <f t="shared" si="109"/>
        <v>2533.8571428571427</v>
      </c>
      <c r="Q582" s="16">
        <f t="shared" si="108"/>
        <v>2918.4580782596145</v>
      </c>
    </row>
    <row r="583" spans="1:17" x14ac:dyDescent="0.3">
      <c r="A583" s="13">
        <v>45799</v>
      </c>
      <c r="B583" s="13" t="str">
        <f t="shared" si="99"/>
        <v>May</v>
      </c>
      <c r="C583" s="13" t="str">
        <f t="shared" si="100"/>
        <v>2025-05</v>
      </c>
      <c r="D583" s="8">
        <v>18</v>
      </c>
      <c r="E583" s="8">
        <v>36</v>
      </c>
      <c r="F583" s="8">
        <v>17</v>
      </c>
      <c r="G583" s="8">
        <v>2473</v>
      </c>
      <c r="H583" s="8">
        <v>15</v>
      </c>
      <c r="I583" s="14">
        <f t="shared" si="101"/>
        <v>2509</v>
      </c>
      <c r="J583" s="14">
        <f t="shared" si="102"/>
        <v>2</v>
      </c>
      <c r="K583" s="15">
        <f t="shared" si="103"/>
        <v>7.5727381426863296E-3</v>
      </c>
      <c r="L583" s="16" t="str">
        <f t="shared" si="104"/>
        <v>Valid</v>
      </c>
      <c r="M583" s="16" t="str">
        <f t="shared" si="105"/>
        <v>Valid</v>
      </c>
      <c r="N583" s="17" t="str">
        <f t="shared" si="106"/>
        <v>Increasing Pressure</v>
      </c>
      <c r="O583" s="16">
        <f t="shared" si="107"/>
        <v>0.88235294117647056</v>
      </c>
      <c r="P583" s="14">
        <f t="shared" si="109"/>
        <v>2535.7142857142858</v>
      </c>
      <c r="Q583" s="16">
        <f t="shared" si="108"/>
        <v>2918.4580782596145</v>
      </c>
    </row>
    <row r="584" spans="1:17" x14ac:dyDescent="0.3">
      <c r="A584" s="13">
        <v>45804</v>
      </c>
      <c r="B584" s="13" t="str">
        <f t="shared" si="99"/>
        <v>May</v>
      </c>
      <c r="C584" s="13" t="str">
        <f t="shared" si="100"/>
        <v>2025-05</v>
      </c>
      <c r="D584" s="8">
        <v>6</v>
      </c>
      <c r="E584" s="8">
        <v>24</v>
      </c>
      <c r="F584" s="8">
        <v>7</v>
      </c>
      <c r="G584" s="8">
        <v>2504</v>
      </c>
      <c r="H584" s="8">
        <v>11</v>
      </c>
      <c r="I584" s="14">
        <f t="shared" si="101"/>
        <v>2528</v>
      </c>
      <c r="J584" s="14">
        <f t="shared" si="102"/>
        <v>-4</v>
      </c>
      <c r="K584" s="15">
        <f t="shared" si="103"/>
        <v>3.9556962025316458E-3</v>
      </c>
      <c r="L584" s="16" t="str">
        <f t="shared" si="104"/>
        <v>Valid</v>
      </c>
      <c r="M584" s="16" t="str">
        <f t="shared" si="105"/>
        <v>Valid</v>
      </c>
      <c r="N584" s="17" t="str">
        <f t="shared" si="106"/>
        <v>Stable/Reducing</v>
      </c>
      <c r="O584" s="16">
        <f t="shared" si="107"/>
        <v>1.5714285714285714</v>
      </c>
      <c r="P584" s="14">
        <f t="shared" si="109"/>
        <v>2539</v>
      </c>
      <c r="Q584" s="16">
        <f t="shared" si="108"/>
        <v>2918.4580782596145</v>
      </c>
    </row>
    <row r="585" spans="1:17" x14ac:dyDescent="0.3">
      <c r="A585" s="13">
        <v>45805</v>
      </c>
      <c r="B585" s="13" t="str">
        <f t="shared" si="99"/>
        <v>May</v>
      </c>
      <c r="C585" s="13" t="str">
        <f t="shared" si="100"/>
        <v>2025-05</v>
      </c>
      <c r="D585" s="8">
        <v>12</v>
      </c>
      <c r="E585" s="8">
        <v>39</v>
      </c>
      <c r="F585" s="8">
        <v>12</v>
      </c>
      <c r="G585" s="8">
        <v>2499</v>
      </c>
      <c r="H585" s="8">
        <v>14</v>
      </c>
      <c r="I585" s="14">
        <f t="shared" si="101"/>
        <v>2538</v>
      </c>
      <c r="J585" s="14">
        <f t="shared" si="102"/>
        <v>-2</v>
      </c>
      <c r="K585" s="15">
        <f t="shared" si="103"/>
        <v>2.3640661938534278E-3</v>
      </c>
      <c r="L585" s="16" t="str">
        <f t="shared" si="104"/>
        <v>Valid</v>
      </c>
      <c r="M585" s="16" t="str">
        <f t="shared" si="105"/>
        <v>Valid</v>
      </c>
      <c r="N585" s="17" t="str">
        <f t="shared" si="106"/>
        <v>Stable/Reducing</v>
      </c>
      <c r="O585" s="16">
        <f t="shared" si="107"/>
        <v>1.1666666666666667</v>
      </c>
      <c r="P585" s="14">
        <f t="shared" si="109"/>
        <v>2539.1428571428573</v>
      </c>
      <c r="Q585" s="16">
        <f t="shared" si="108"/>
        <v>2918.4580782596145</v>
      </c>
    </row>
    <row r="586" spans="1:17" x14ac:dyDescent="0.3">
      <c r="A586" s="13">
        <v>45806</v>
      </c>
      <c r="B586" s="13" t="str">
        <f t="shared" si="99"/>
        <v>May</v>
      </c>
      <c r="C586" s="13" t="str">
        <f t="shared" si="100"/>
        <v>2025-05</v>
      </c>
      <c r="D586" s="8">
        <v>13</v>
      </c>
      <c r="E586" s="8">
        <v>38</v>
      </c>
      <c r="F586" s="8">
        <v>15</v>
      </c>
      <c r="G586" s="8">
        <v>2506</v>
      </c>
      <c r="H586" s="8">
        <v>11</v>
      </c>
      <c r="I586" s="14">
        <f t="shared" si="101"/>
        <v>2544</v>
      </c>
      <c r="J586" s="14">
        <f t="shared" si="102"/>
        <v>4</v>
      </c>
      <c r="K586" s="15">
        <f t="shared" si="103"/>
        <v>3.1446540880503146E-3</v>
      </c>
      <c r="L586" s="16" t="str">
        <f t="shared" si="104"/>
        <v>Valid</v>
      </c>
      <c r="M586" s="16" t="str">
        <f t="shared" si="105"/>
        <v>Valid</v>
      </c>
      <c r="N586" s="17" t="str">
        <f t="shared" si="106"/>
        <v>Increasing Pressure</v>
      </c>
      <c r="O586" s="16">
        <f t="shared" si="107"/>
        <v>0.73333333333333328</v>
      </c>
      <c r="P586" s="14">
        <f t="shared" si="109"/>
        <v>2537</v>
      </c>
      <c r="Q586" s="16">
        <f t="shared" si="108"/>
        <v>2918.4580782596145</v>
      </c>
    </row>
    <row r="587" spans="1:17" x14ac:dyDescent="0.3">
      <c r="A587" s="13">
        <v>45809</v>
      </c>
      <c r="B587" s="13" t="str">
        <f t="shared" si="99"/>
        <v>June</v>
      </c>
      <c r="C587" s="13" t="str">
        <f t="shared" si="100"/>
        <v>2025-06</v>
      </c>
      <c r="D587" s="8">
        <v>8</v>
      </c>
      <c r="E587" s="8">
        <v>24</v>
      </c>
      <c r="F587" s="8">
        <v>16</v>
      </c>
      <c r="G587" s="8">
        <v>2528</v>
      </c>
      <c r="H587" s="8">
        <v>12</v>
      </c>
      <c r="I587" s="14">
        <f t="shared" si="101"/>
        <v>2552</v>
      </c>
      <c r="J587" s="14">
        <f t="shared" si="102"/>
        <v>4</v>
      </c>
      <c r="K587" s="15">
        <f t="shared" si="103"/>
        <v>-5.8777429467084643E-3</v>
      </c>
      <c r="L587" s="16" t="str">
        <f t="shared" si="104"/>
        <v>Valid</v>
      </c>
      <c r="M587" s="16" t="str">
        <f t="shared" si="105"/>
        <v>Valid</v>
      </c>
      <c r="N587" s="17" t="str">
        <f t="shared" si="106"/>
        <v>Increasing Pressure</v>
      </c>
      <c r="O587" s="16">
        <f t="shared" si="107"/>
        <v>0.75</v>
      </c>
      <c r="P587" s="14">
        <f t="shared" si="109"/>
        <v>2536</v>
      </c>
      <c r="Q587" s="16">
        <f t="shared" si="108"/>
        <v>2918.4580782596145</v>
      </c>
    </row>
    <row r="588" spans="1:17" x14ac:dyDescent="0.3">
      <c r="A588" s="13">
        <v>45810</v>
      </c>
      <c r="B588" s="13" t="str">
        <f t="shared" si="99"/>
        <v>June</v>
      </c>
      <c r="C588" s="13" t="str">
        <f t="shared" si="100"/>
        <v>2025-06</v>
      </c>
      <c r="D588" s="8">
        <v>10</v>
      </c>
      <c r="E588" s="8">
        <v>19</v>
      </c>
      <c r="F588" s="8">
        <v>5</v>
      </c>
      <c r="G588" s="8">
        <v>2518</v>
      </c>
      <c r="H588" s="8">
        <v>16</v>
      </c>
      <c r="I588" s="14">
        <f t="shared" si="101"/>
        <v>2537</v>
      </c>
      <c r="J588" s="14">
        <f t="shared" si="102"/>
        <v>-11</v>
      </c>
      <c r="K588" s="15">
        <f t="shared" si="103"/>
        <v>1.970831690973591E-3</v>
      </c>
      <c r="L588" s="16" t="str">
        <f t="shared" si="104"/>
        <v>Valid</v>
      </c>
      <c r="M588" s="16" t="str">
        <f t="shared" si="105"/>
        <v>Valid</v>
      </c>
      <c r="N588" s="17" t="str">
        <f t="shared" si="106"/>
        <v>Stable/Reducing</v>
      </c>
      <c r="O588" s="16">
        <f t="shared" si="107"/>
        <v>3.2</v>
      </c>
      <c r="P588" s="14">
        <f t="shared" si="109"/>
        <v>2534.1428571428573</v>
      </c>
      <c r="Q588" s="16">
        <f t="shared" si="108"/>
        <v>2918.4580782596145</v>
      </c>
    </row>
    <row r="589" spans="1:17" x14ac:dyDescent="0.3">
      <c r="A589" s="13">
        <v>45811</v>
      </c>
      <c r="B589" s="13" t="str">
        <f t="shared" si="99"/>
        <v>June</v>
      </c>
      <c r="C589" s="13" t="str">
        <f t="shared" si="100"/>
        <v>2025-06</v>
      </c>
      <c r="D589" s="8">
        <v>5</v>
      </c>
      <c r="E589" s="8">
        <v>23</v>
      </c>
      <c r="F589" s="8">
        <v>11</v>
      </c>
      <c r="G589" s="8">
        <v>2519</v>
      </c>
      <c r="H589" s="8">
        <v>15</v>
      </c>
      <c r="I589" s="14">
        <f t="shared" si="101"/>
        <v>2542</v>
      </c>
      <c r="J589" s="14">
        <f t="shared" si="102"/>
        <v>-4</v>
      </c>
      <c r="K589" s="15">
        <f t="shared" si="103"/>
        <v>-3.9339103068450039E-3</v>
      </c>
      <c r="L589" s="16" t="str">
        <f t="shared" si="104"/>
        <v>Valid</v>
      </c>
      <c r="M589" s="16" t="str">
        <f t="shared" si="105"/>
        <v>Valid</v>
      </c>
      <c r="N589" s="17" t="str">
        <f t="shared" si="106"/>
        <v>Stable/Reducing</v>
      </c>
      <c r="O589" s="16">
        <f t="shared" si="107"/>
        <v>1.3636363636363635</v>
      </c>
      <c r="P589" s="14">
        <f t="shared" si="109"/>
        <v>2535.5714285714284</v>
      </c>
      <c r="Q589" s="16">
        <f t="shared" si="108"/>
        <v>2918.4580782596145</v>
      </c>
    </row>
    <row r="590" spans="1:17" x14ac:dyDescent="0.3">
      <c r="A590" s="13">
        <v>45812</v>
      </c>
      <c r="B590" s="13" t="str">
        <f t="shared" si="99"/>
        <v>June</v>
      </c>
      <c r="C590" s="13" t="str">
        <f t="shared" si="100"/>
        <v>2025-06</v>
      </c>
      <c r="D590" s="8">
        <v>4</v>
      </c>
      <c r="E590" s="8">
        <v>16</v>
      </c>
      <c r="F590" s="8">
        <v>9</v>
      </c>
      <c r="G590" s="8">
        <v>2516</v>
      </c>
      <c r="H590" s="8">
        <v>16</v>
      </c>
      <c r="I590" s="14">
        <f t="shared" si="101"/>
        <v>2532</v>
      </c>
      <c r="J590" s="14">
        <f t="shared" si="102"/>
        <v>-7</v>
      </c>
      <c r="K590" s="15">
        <f t="shared" si="103"/>
        <v>-1.1848341232227489E-3</v>
      </c>
      <c r="L590" s="16" t="str">
        <f t="shared" si="104"/>
        <v>Valid</v>
      </c>
      <c r="M590" s="16" t="str">
        <f t="shared" si="105"/>
        <v>Valid</v>
      </c>
      <c r="N590" s="17" t="str">
        <f t="shared" si="106"/>
        <v>Stable/Reducing</v>
      </c>
      <c r="O590" s="16">
        <f t="shared" si="107"/>
        <v>1.7777777777777777</v>
      </c>
      <c r="P590" s="14">
        <f t="shared" si="109"/>
        <v>2532.4285714285716</v>
      </c>
      <c r="Q590" s="16">
        <f t="shared" si="108"/>
        <v>2918.4580782596145</v>
      </c>
    </row>
    <row r="591" spans="1:17" x14ac:dyDescent="0.3">
      <c r="A591" s="13">
        <v>45813</v>
      </c>
      <c r="B591" s="13" t="str">
        <f t="shared" si="99"/>
        <v>June</v>
      </c>
      <c r="C591" s="13" t="str">
        <f t="shared" si="100"/>
        <v>2025-06</v>
      </c>
      <c r="D591" s="8">
        <v>8</v>
      </c>
      <c r="E591" s="8">
        <v>26</v>
      </c>
      <c r="F591" s="8">
        <v>5</v>
      </c>
      <c r="G591" s="8">
        <v>2503</v>
      </c>
      <c r="H591" s="8">
        <v>21</v>
      </c>
      <c r="I591" s="14">
        <f t="shared" si="101"/>
        <v>2529</v>
      </c>
      <c r="J591" s="14">
        <f t="shared" si="102"/>
        <v>-16</v>
      </c>
      <c r="K591" s="15">
        <f t="shared" si="103"/>
        <v>-2.3724792408066431E-3</v>
      </c>
      <c r="L591" s="16" t="str">
        <f t="shared" si="104"/>
        <v>Valid</v>
      </c>
      <c r="M591" s="16" t="str">
        <f t="shared" si="105"/>
        <v>Valid</v>
      </c>
      <c r="N591" s="17" t="str">
        <f t="shared" si="106"/>
        <v>Stable/Reducing</v>
      </c>
      <c r="O591" s="16">
        <f t="shared" si="107"/>
        <v>4.2</v>
      </c>
      <c r="P591" s="14">
        <f t="shared" si="109"/>
        <v>2530.8571428571427</v>
      </c>
      <c r="Q591" s="16">
        <f t="shared" si="108"/>
        <v>2918.4580782596145</v>
      </c>
    </row>
    <row r="592" spans="1:17" x14ac:dyDescent="0.3">
      <c r="A592" s="13">
        <v>45816</v>
      </c>
      <c r="B592" s="13" t="str">
        <f t="shared" si="99"/>
        <v>June</v>
      </c>
      <c r="C592" s="13" t="str">
        <f t="shared" si="100"/>
        <v>2025-06</v>
      </c>
      <c r="D592" s="8">
        <v>10</v>
      </c>
      <c r="E592" s="8">
        <v>16</v>
      </c>
      <c r="F592" s="8">
        <v>15</v>
      </c>
      <c r="G592" s="8">
        <v>2507</v>
      </c>
      <c r="H592" s="8">
        <v>13</v>
      </c>
      <c r="I592" s="14">
        <f t="shared" si="101"/>
        <v>2523</v>
      </c>
      <c r="J592" s="14">
        <f t="shared" si="102"/>
        <v>2</v>
      </c>
      <c r="K592" s="15">
        <f t="shared" si="103"/>
        <v>5.5489496630994851E-3</v>
      </c>
      <c r="L592" s="16" t="str">
        <f t="shared" si="104"/>
        <v>Valid</v>
      </c>
      <c r="M592" s="16" t="str">
        <f t="shared" si="105"/>
        <v>Valid</v>
      </c>
      <c r="N592" s="17" t="str">
        <f t="shared" si="106"/>
        <v>Increasing Pressure</v>
      </c>
      <c r="O592" s="16">
        <f t="shared" si="107"/>
        <v>0.8666666666666667</v>
      </c>
      <c r="P592" s="14">
        <f t="shared" si="109"/>
        <v>2528.1428571428573</v>
      </c>
      <c r="Q592" s="16">
        <f t="shared" si="108"/>
        <v>2918.4580782596145</v>
      </c>
    </row>
    <row r="593" spans="1:17" x14ac:dyDescent="0.3">
      <c r="A593" s="13">
        <v>45817</v>
      </c>
      <c r="B593" s="13" t="str">
        <f t="shared" si="99"/>
        <v>June</v>
      </c>
      <c r="C593" s="13" t="str">
        <f t="shared" si="100"/>
        <v>2025-06</v>
      </c>
      <c r="D593" s="8">
        <v>8</v>
      </c>
      <c r="E593" s="8">
        <v>21</v>
      </c>
      <c r="F593" s="8">
        <v>14</v>
      </c>
      <c r="G593" s="8">
        <v>2516</v>
      </c>
      <c r="H593" s="8">
        <v>9</v>
      </c>
      <c r="I593" s="14">
        <f t="shared" si="101"/>
        <v>2537</v>
      </c>
      <c r="J593" s="14">
        <f t="shared" si="102"/>
        <v>5</v>
      </c>
      <c r="K593" s="15">
        <f t="shared" si="103"/>
        <v>7.8833267638943631E-4</v>
      </c>
      <c r="L593" s="16" t="str">
        <f t="shared" si="104"/>
        <v>Valid</v>
      </c>
      <c r="M593" s="16" t="str">
        <f t="shared" si="105"/>
        <v>Valid</v>
      </c>
      <c r="N593" s="17" t="str">
        <f t="shared" si="106"/>
        <v>Increasing Pressure</v>
      </c>
      <c r="O593" s="16">
        <f t="shared" si="107"/>
        <v>0.6428571428571429</v>
      </c>
      <c r="P593" s="14">
        <f t="shared" si="109"/>
        <v>2526.1428571428573</v>
      </c>
      <c r="Q593" s="16">
        <f t="shared" si="108"/>
        <v>2918.4580782596145</v>
      </c>
    </row>
    <row r="594" spans="1:17" x14ac:dyDescent="0.3">
      <c r="A594" s="13">
        <v>45818</v>
      </c>
      <c r="B594" s="13" t="str">
        <f t="shared" si="99"/>
        <v>June</v>
      </c>
      <c r="C594" s="13" t="str">
        <f t="shared" si="100"/>
        <v>2025-06</v>
      </c>
      <c r="D594" s="8">
        <v>17</v>
      </c>
      <c r="E594" s="8">
        <v>28</v>
      </c>
      <c r="F594" s="8">
        <v>7</v>
      </c>
      <c r="G594" s="8">
        <v>2511</v>
      </c>
      <c r="H594" s="8">
        <v>12</v>
      </c>
      <c r="I594" s="14">
        <f t="shared" si="101"/>
        <v>2539</v>
      </c>
      <c r="J594" s="14">
        <f t="shared" si="102"/>
        <v>-5</v>
      </c>
      <c r="K594" s="15">
        <f t="shared" si="103"/>
        <v>3.1508467900748325E-3</v>
      </c>
      <c r="L594" s="16" t="str">
        <f t="shared" si="104"/>
        <v>Valid</v>
      </c>
      <c r="M594" s="16" t="str">
        <f t="shared" si="105"/>
        <v>Valid</v>
      </c>
      <c r="N594" s="17" t="str">
        <f t="shared" si="106"/>
        <v>Stable/Reducing</v>
      </c>
      <c r="O594" s="16">
        <f t="shared" si="107"/>
        <v>1.7142857142857142</v>
      </c>
      <c r="P594" s="14">
        <f t="shared" si="109"/>
        <v>2518.2857142857142</v>
      </c>
      <c r="Q594" s="16">
        <f t="shared" si="108"/>
        <v>2918.4580782596145</v>
      </c>
    </row>
    <row r="595" spans="1:17" x14ac:dyDescent="0.3">
      <c r="A595" s="13">
        <v>45825</v>
      </c>
      <c r="B595" s="13" t="str">
        <f t="shared" si="99"/>
        <v>June</v>
      </c>
      <c r="C595" s="13" t="str">
        <f t="shared" si="100"/>
        <v>2025-06</v>
      </c>
      <c r="D595" s="8">
        <v>7</v>
      </c>
      <c r="E595" s="8">
        <v>24</v>
      </c>
      <c r="F595" s="8">
        <v>10</v>
      </c>
      <c r="G595" s="8">
        <v>2523</v>
      </c>
      <c r="H595" s="8">
        <v>14</v>
      </c>
      <c r="I595" s="14">
        <f t="shared" si="101"/>
        <v>2547</v>
      </c>
      <c r="J595" s="14">
        <f t="shared" si="102"/>
        <v>-4</v>
      </c>
      <c r="K595" s="15">
        <f t="shared" si="103"/>
        <v>-1.0600706713780919E-2</v>
      </c>
      <c r="L595" s="16" t="str">
        <f t="shared" si="104"/>
        <v>Valid</v>
      </c>
      <c r="M595" s="16" t="str">
        <f t="shared" si="105"/>
        <v>Valid</v>
      </c>
      <c r="N595" s="17" t="str">
        <f t="shared" si="106"/>
        <v>Stable/Reducing</v>
      </c>
      <c r="O595" s="16">
        <f t="shared" si="107"/>
        <v>1.4</v>
      </c>
      <c r="P595" s="14">
        <f t="shared" si="109"/>
        <v>2506.4285714285716</v>
      </c>
      <c r="Q595" s="16">
        <f t="shared" si="108"/>
        <v>2918.4580782596145</v>
      </c>
    </row>
    <row r="596" spans="1:17" x14ac:dyDescent="0.3">
      <c r="A596" s="13">
        <v>45827</v>
      </c>
      <c r="B596" s="13" t="str">
        <f t="shared" si="99"/>
        <v>June</v>
      </c>
      <c r="C596" s="13" t="str">
        <f t="shared" si="100"/>
        <v>2025-06</v>
      </c>
      <c r="D596" s="8">
        <v>8</v>
      </c>
      <c r="E596" s="8">
        <v>19</v>
      </c>
      <c r="F596" s="8">
        <v>7</v>
      </c>
      <c r="G596" s="8">
        <v>2501</v>
      </c>
      <c r="H596" s="8">
        <v>18</v>
      </c>
      <c r="I596" s="14">
        <f t="shared" si="101"/>
        <v>2520</v>
      </c>
      <c r="J596" s="14">
        <f t="shared" si="102"/>
        <v>-11</v>
      </c>
      <c r="K596" s="15">
        <f t="shared" si="103"/>
        <v>3.9682539682539683E-4</v>
      </c>
      <c r="L596" s="16" t="str">
        <f t="shared" si="104"/>
        <v>Valid</v>
      </c>
      <c r="M596" s="16" t="str">
        <f t="shared" si="105"/>
        <v>Valid</v>
      </c>
      <c r="N596" s="17" t="str">
        <f t="shared" si="106"/>
        <v>Stable/Reducing</v>
      </c>
      <c r="O596" s="16">
        <f t="shared" si="107"/>
        <v>2.5714285714285716</v>
      </c>
      <c r="P596" s="14">
        <f t="shared" si="109"/>
        <v>2489.7142857142858</v>
      </c>
      <c r="Q596" s="16">
        <f t="shared" si="108"/>
        <v>2918.4580782596145</v>
      </c>
    </row>
    <row r="597" spans="1:17" x14ac:dyDescent="0.3">
      <c r="A597" s="13">
        <v>45830</v>
      </c>
      <c r="B597" s="13" t="str">
        <f t="shared" si="99"/>
        <v>June</v>
      </c>
      <c r="C597" s="13" t="str">
        <f t="shared" si="100"/>
        <v>2025-06</v>
      </c>
      <c r="D597" s="8">
        <v>7</v>
      </c>
      <c r="E597" s="8">
        <v>13</v>
      </c>
      <c r="F597" s="8">
        <v>5</v>
      </c>
      <c r="G597" s="8">
        <v>2508</v>
      </c>
      <c r="H597" s="8">
        <v>7</v>
      </c>
      <c r="I597" s="14">
        <f t="shared" si="101"/>
        <v>2521</v>
      </c>
      <c r="J597" s="14">
        <f t="shared" si="102"/>
        <v>-2</v>
      </c>
      <c r="K597" s="15">
        <f t="shared" si="103"/>
        <v>-4.3633478778262597E-3</v>
      </c>
      <c r="L597" s="16" t="str">
        <f t="shared" si="104"/>
        <v>Valid</v>
      </c>
      <c r="M597" s="16" t="str">
        <f t="shared" si="105"/>
        <v>Valid</v>
      </c>
      <c r="N597" s="17" t="str">
        <f t="shared" si="106"/>
        <v>Stable/Reducing</v>
      </c>
      <c r="O597" s="16">
        <f t="shared" si="107"/>
        <v>1.4</v>
      </c>
      <c r="P597" s="14">
        <f t="shared" si="109"/>
        <v>2476.7142857142858</v>
      </c>
      <c r="Q597" s="16">
        <f t="shared" si="108"/>
        <v>2918.4580782596145</v>
      </c>
    </row>
    <row r="598" spans="1:17" x14ac:dyDescent="0.3">
      <c r="A598" s="13">
        <v>45831</v>
      </c>
      <c r="B598" s="13" t="str">
        <f t="shared" si="99"/>
        <v>June</v>
      </c>
      <c r="C598" s="13" t="str">
        <f t="shared" si="100"/>
        <v>2025-06</v>
      </c>
      <c r="D598" s="8">
        <v>3</v>
      </c>
      <c r="E598" s="8">
        <v>15</v>
      </c>
      <c r="F598" s="8">
        <v>5</v>
      </c>
      <c r="G598" s="8">
        <v>2495</v>
      </c>
      <c r="H598" s="8">
        <v>17</v>
      </c>
      <c r="I598" s="14">
        <f t="shared" si="101"/>
        <v>2510</v>
      </c>
      <c r="J598" s="14">
        <f t="shared" si="102"/>
        <v>-12</v>
      </c>
      <c r="K598" s="15">
        <f t="shared" si="103"/>
        <v>-3.9840637450199205E-4</v>
      </c>
      <c r="L598" s="16" t="str">
        <f t="shared" si="104"/>
        <v>Valid</v>
      </c>
      <c r="M598" s="16" t="str">
        <f t="shared" si="105"/>
        <v>Valid</v>
      </c>
      <c r="N598" s="17" t="str">
        <f t="shared" si="106"/>
        <v>Stable/Reducing</v>
      </c>
      <c r="O598" s="16">
        <f t="shared" si="107"/>
        <v>3.4</v>
      </c>
      <c r="P598" s="14">
        <f t="shared" si="109"/>
        <v>2460.1428571428573</v>
      </c>
      <c r="Q598" s="16">
        <f t="shared" si="108"/>
        <v>2918.4580782596145</v>
      </c>
    </row>
    <row r="599" spans="1:17" x14ac:dyDescent="0.3">
      <c r="A599" s="13">
        <v>45832</v>
      </c>
      <c r="B599" s="13" t="str">
        <f t="shared" si="99"/>
        <v>June</v>
      </c>
      <c r="C599" s="13" t="str">
        <f t="shared" si="100"/>
        <v>2025-06</v>
      </c>
      <c r="D599" s="8">
        <v>5</v>
      </c>
      <c r="E599" s="8">
        <v>20</v>
      </c>
      <c r="F599" s="8">
        <v>5</v>
      </c>
      <c r="G599" s="8">
        <v>2489</v>
      </c>
      <c r="H599" s="8">
        <v>16</v>
      </c>
      <c r="I599" s="14">
        <f t="shared" si="101"/>
        <v>2509</v>
      </c>
      <c r="J599" s="14">
        <f t="shared" si="102"/>
        <v>-11</v>
      </c>
      <c r="K599" s="15">
        <f t="shared" si="103"/>
        <v>-1.0761259465922678E-2</v>
      </c>
      <c r="L599" s="16" t="str">
        <f t="shared" si="104"/>
        <v>Valid</v>
      </c>
      <c r="M599" s="16" t="str">
        <f t="shared" si="105"/>
        <v>Valid</v>
      </c>
      <c r="N599" s="17" t="str">
        <f t="shared" si="106"/>
        <v>Stable/Reducing</v>
      </c>
      <c r="O599" s="16">
        <f t="shared" si="107"/>
        <v>3.2</v>
      </c>
      <c r="P599" s="14">
        <f t="shared" si="109"/>
        <v>2443.4285714285716</v>
      </c>
      <c r="Q599" s="16">
        <f t="shared" si="108"/>
        <v>2918.4580782596145</v>
      </c>
    </row>
    <row r="600" spans="1:17" x14ac:dyDescent="0.3">
      <c r="A600" s="13">
        <v>45833</v>
      </c>
      <c r="B600" s="13" t="str">
        <f t="shared" si="99"/>
        <v>June</v>
      </c>
      <c r="C600" s="13" t="str">
        <f t="shared" si="100"/>
        <v>2025-06</v>
      </c>
      <c r="D600" s="8">
        <v>6</v>
      </c>
      <c r="E600" s="8">
        <v>12</v>
      </c>
      <c r="F600" s="8">
        <v>2</v>
      </c>
      <c r="G600" s="8">
        <v>2470</v>
      </c>
      <c r="H600" s="8">
        <v>24</v>
      </c>
      <c r="I600" s="14">
        <f t="shared" si="101"/>
        <v>2482</v>
      </c>
      <c r="J600" s="14">
        <f t="shared" si="102"/>
        <v>-22</v>
      </c>
      <c r="K600" s="15">
        <f t="shared" si="103"/>
        <v>-1.0475423045930701E-2</v>
      </c>
      <c r="L600" s="16" t="str">
        <f t="shared" si="104"/>
        <v>Valid</v>
      </c>
      <c r="M600" s="16" t="str">
        <f t="shared" si="105"/>
        <v>Valid</v>
      </c>
      <c r="N600" s="17" t="str">
        <f t="shared" si="106"/>
        <v>Stable/Reducing</v>
      </c>
      <c r="O600" s="16">
        <f t="shared" si="107"/>
        <v>12</v>
      </c>
      <c r="P600" s="14">
        <f t="shared" si="109"/>
        <v>2420.5714285714284</v>
      </c>
      <c r="Q600" s="16">
        <f t="shared" si="108"/>
        <v>2918.4580782596145</v>
      </c>
    </row>
    <row r="601" spans="1:17" x14ac:dyDescent="0.3">
      <c r="A601" s="13">
        <v>45834</v>
      </c>
      <c r="B601" s="13" t="str">
        <f t="shared" si="99"/>
        <v>June</v>
      </c>
      <c r="C601" s="13" t="str">
        <f t="shared" si="100"/>
        <v>2025-06</v>
      </c>
      <c r="D601" s="8">
        <v>3</v>
      </c>
      <c r="E601" s="8">
        <v>9</v>
      </c>
      <c r="F601" s="8">
        <v>7</v>
      </c>
      <c r="G601" s="8">
        <v>2447</v>
      </c>
      <c r="H601" s="8">
        <v>35</v>
      </c>
      <c r="I601" s="14">
        <f t="shared" si="101"/>
        <v>2456</v>
      </c>
      <c r="J601" s="14">
        <f t="shared" si="102"/>
        <v>-28</v>
      </c>
      <c r="K601" s="15">
        <f t="shared" si="103"/>
        <v>-1.0586319218241042E-2</v>
      </c>
      <c r="L601" s="16" t="str">
        <f t="shared" si="104"/>
        <v>Valid</v>
      </c>
      <c r="M601" s="16" t="str">
        <f t="shared" si="105"/>
        <v>Valid</v>
      </c>
      <c r="N601" s="17" t="str">
        <f t="shared" si="106"/>
        <v>Stable/Reducing</v>
      </c>
      <c r="O601" s="16">
        <f t="shared" si="107"/>
        <v>5</v>
      </c>
      <c r="P601" s="14">
        <f t="shared" si="109"/>
        <v>2399.5714285714284</v>
      </c>
      <c r="Q601" s="16">
        <f t="shared" si="108"/>
        <v>2918.4580782596145</v>
      </c>
    </row>
    <row r="602" spans="1:17" x14ac:dyDescent="0.3">
      <c r="A602" s="13">
        <v>45837</v>
      </c>
      <c r="B602" s="13" t="str">
        <f t="shared" si="99"/>
        <v>June</v>
      </c>
      <c r="C602" s="13" t="str">
        <f t="shared" si="100"/>
        <v>2025-06</v>
      </c>
      <c r="D602" s="8">
        <v>5</v>
      </c>
      <c r="E602" s="8">
        <v>17</v>
      </c>
      <c r="F602" s="8">
        <v>7</v>
      </c>
      <c r="G602" s="8">
        <v>2413</v>
      </c>
      <c r="H602" s="8">
        <v>20</v>
      </c>
      <c r="I602" s="14">
        <f t="shared" si="101"/>
        <v>2430</v>
      </c>
      <c r="J602" s="14">
        <f t="shared" si="102"/>
        <v>-13</v>
      </c>
      <c r="K602" s="15">
        <f t="shared" si="103"/>
        <v>-4.1152263374485596E-4</v>
      </c>
      <c r="L602" s="16" t="str">
        <f t="shared" si="104"/>
        <v>Valid</v>
      </c>
      <c r="M602" s="16" t="str">
        <f t="shared" si="105"/>
        <v>Valid</v>
      </c>
      <c r="N602" s="17" t="str">
        <f t="shared" si="106"/>
        <v>Stable/Reducing</v>
      </c>
      <c r="O602" s="16">
        <f t="shared" si="107"/>
        <v>2.8571428571428572</v>
      </c>
      <c r="P602" s="14">
        <f t="shared" si="109"/>
        <v>2380.4285714285716</v>
      </c>
      <c r="Q602" s="16">
        <f t="shared" si="108"/>
        <v>2918.4580782596145</v>
      </c>
    </row>
    <row r="603" spans="1:17" x14ac:dyDescent="0.3">
      <c r="A603" s="13">
        <v>45838</v>
      </c>
      <c r="B603" s="13" t="str">
        <f t="shared" si="99"/>
        <v>June</v>
      </c>
      <c r="C603" s="13" t="str">
        <f t="shared" si="100"/>
        <v>2025-06</v>
      </c>
      <c r="D603" s="8">
        <v>9</v>
      </c>
      <c r="E603" s="8">
        <v>22</v>
      </c>
      <c r="F603" s="8">
        <v>8</v>
      </c>
      <c r="G603" s="8">
        <v>2407</v>
      </c>
      <c r="H603" s="8">
        <v>16</v>
      </c>
      <c r="I603" s="14">
        <f t="shared" si="101"/>
        <v>2429</v>
      </c>
      <c r="J603" s="14">
        <f t="shared" si="102"/>
        <v>-8</v>
      </c>
      <c r="K603" s="15">
        <f t="shared" si="103"/>
        <v>-9.8806093042404283E-3</v>
      </c>
      <c r="L603" s="16" t="str">
        <f t="shared" si="104"/>
        <v>Valid</v>
      </c>
      <c r="M603" s="16" t="str">
        <f t="shared" si="105"/>
        <v>Valid</v>
      </c>
      <c r="N603" s="17" t="str">
        <f t="shared" si="106"/>
        <v>Stable/Reducing</v>
      </c>
      <c r="O603" s="16">
        <f t="shared" si="107"/>
        <v>2</v>
      </c>
      <c r="P603" s="14">
        <f t="shared" si="109"/>
        <v>2361.7142857142858</v>
      </c>
      <c r="Q603" s="16">
        <f t="shared" si="108"/>
        <v>2918.4580782596145</v>
      </c>
    </row>
    <row r="604" spans="1:17" x14ac:dyDescent="0.3">
      <c r="A604" s="13">
        <v>45839</v>
      </c>
      <c r="B604" s="13" t="str">
        <f t="shared" si="99"/>
        <v>July</v>
      </c>
      <c r="C604" s="13" t="str">
        <f t="shared" si="100"/>
        <v>2025-07</v>
      </c>
      <c r="D604" s="8">
        <v>7</v>
      </c>
      <c r="E604" s="8">
        <v>14</v>
      </c>
      <c r="F604" s="8">
        <v>6</v>
      </c>
      <c r="G604" s="8">
        <v>2391</v>
      </c>
      <c r="H604" s="8">
        <v>22</v>
      </c>
      <c r="I604" s="14">
        <f t="shared" si="101"/>
        <v>2405</v>
      </c>
      <c r="J604" s="14">
        <f t="shared" si="102"/>
        <v>-16</v>
      </c>
      <c r="K604" s="15">
        <f t="shared" si="103"/>
        <v>-4.9896049896049899E-3</v>
      </c>
      <c r="L604" s="16" t="str">
        <f t="shared" si="104"/>
        <v>Valid</v>
      </c>
      <c r="M604" s="16" t="str">
        <f t="shared" si="105"/>
        <v>Valid</v>
      </c>
      <c r="N604" s="17" t="str">
        <f t="shared" si="106"/>
        <v>Stable/Reducing</v>
      </c>
      <c r="O604" s="16">
        <f t="shared" si="107"/>
        <v>3.6666666666666665</v>
      </c>
      <c r="P604" s="14">
        <f t="shared" si="109"/>
        <v>2338.1428571428573</v>
      </c>
      <c r="Q604" s="16">
        <f t="shared" si="108"/>
        <v>2918.4580782596145</v>
      </c>
    </row>
    <row r="605" spans="1:17" x14ac:dyDescent="0.3">
      <c r="A605" s="13">
        <v>45840</v>
      </c>
      <c r="B605" s="13" t="str">
        <f t="shared" si="99"/>
        <v>July</v>
      </c>
      <c r="C605" s="13" t="str">
        <f t="shared" si="100"/>
        <v>2025-07</v>
      </c>
      <c r="D605" s="8">
        <v>8</v>
      </c>
      <c r="E605" s="8">
        <v>20</v>
      </c>
      <c r="F605" s="8">
        <v>9</v>
      </c>
      <c r="G605" s="8">
        <v>2373</v>
      </c>
      <c r="H605" s="8">
        <v>38</v>
      </c>
      <c r="I605" s="14">
        <f t="shared" si="101"/>
        <v>2393</v>
      </c>
      <c r="J605" s="14">
        <f t="shared" si="102"/>
        <v>-29</v>
      </c>
      <c r="K605" s="15">
        <f t="shared" si="103"/>
        <v>-1.8386961972419558E-2</v>
      </c>
      <c r="L605" s="16" t="str">
        <f t="shared" si="104"/>
        <v>Valid</v>
      </c>
      <c r="M605" s="16" t="str">
        <f t="shared" si="105"/>
        <v>Valid</v>
      </c>
      <c r="N605" s="17" t="str">
        <f t="shared" si="106"/>
        <v>Stable/Reducing</v>
      </c>
      <c r="O605" s="16">
        <f t="shared" si="107"/>
        <v>4.2222222222222223</v>
      </c>
      <c r="P605" s="14">
        <f t="shared" si="109"/>
        <v>2311.2857142857142</v>
      </c>
      <c r="Q605" s="16">
        <f t="shared" si="108"/>
        <v>2918.4580782596145</v>
      </c>
    </row>
    <row r="606" spans="1:17" x14ac:dyDescent="0.3">
      <c r="A606" s="13">
        <v>45844</v>
      </c>
      <c r="B606" s="13" t="str">
        <f t="shared" si="99"/>
        <v>July</v>
      </c>
      <c r="C606" s="13" t="str">
        <f t="shared" si="100"/>
        <v>2025-07</v>
      </c>
      <c r="D606" s="8">
        <v>4</v>
      </c>
      <c r="E606" s="8">
        <v>17</v>
      </c>
      <c r="F606" s="8">
        <v>2</v>
      </c>
      <c r="G606" s="8">
        <v>2332</v>
      </c>
      <c r="H606" s="8">
        <v>8</v>
      </c>
      <c r="I606" s="14">
        <f t="shared" si="101"/>
        <v>2349</v>
      </c>
      <c r="J606" s="14">
        <f t="shared" si="102"/>
        <v>-6</v>
      </c>
      <c r="K606" s="15">
        <f t="shared" si="103"/>
        <v>-5.9599829714772241E-3</v>
      </c>
      <c r="L606" s="16" t="str">
        <f t="shared" si="104"/>
        <v>Valid</v>
      </c>
      <c r="M606" s="16" t="str">
        <f t="shared" si="105"/>
        <v>Valid</v>
      </c>
      <c r="N606" s="17" t="str">
        <f t="shared" si="106"/>
        <v>Stable/Reducing</v>
      </c>
      <c r="O606" s="16">
        <f t="shared" si="107"/>
        <v>4</v>
      </c>
      <c r="P606" s="14">
        <f t="shared" si="109"/>
        <v>2282.2857142857142</v>
      </c>
      <c r="Q606" s="16">
        <f t="shared" si="108"/>
        <v>2918.4580782596145</v>
      </c>
    </row>
    <row r="607" spans="1:17" x14ac:dyDescent="0.3">
      <c r="A607" s="13">
        <v>45845</v>
      </c>
      <c r="B607" s="13" t="str">
        <f t="shared" si="99"/>
        <v>July</v>
      </c>
      <c r="C607" s="13" t="str">
        <f t="shared" si="100"/>
        <v>2025-07</v>
      </c>
      <c r="D607" s="8">
        <v>3</v>
      </c>
      <c r="E607" s="8">
        <v>18</v>
      </c>
      <c r="F607" s="8">
        <v>8</v>
      </c>
      <c r="G607" s="8">
        <v>2317</v>
      </c>
      <c r="H607" s="8">
        <v>20</v>
      </c>
      <c r="I607" s="14">
        <f t="shared" si="101"/>
        <v>2335</v>
      </c>
      <c r="J607" s="14">
        <f t="shared" si="102"/>
        <v>-12</v>
      </c>
      <c r="K607" s="15">
        <f t="shared" si="103"/>
        <v>-5.5674518201284801E-3</v>
      </c>
      <c r="L607" s="16" t="str">
        <f t="shared" si="104"/>
        <v>Valid</v>
      </c>
      <c r="M607" s="16" t="str">
        <f t="shared" si="105"/>
        <v>Valid</v>
      </c>
      <c r="N607" s="17" t="str">
        <f t="shared" si="106"/>
        <v>Stable/Reducing</v>
      </c>
      <c r="O607" s="16">
        <f t="shared" si="107"/>
        <v>2.5</v>
      </c>
      <c r="P607" s="14">
        <f t="shared" si="109"/>
        <v>2258</v>
      </c>
      <c r="Q607" s="16">
        <f t="shared" si="108"/>
        <v>2918.4580782596145</v>
      </c>
    </row>
    <row r="608" spans="1:17" x14ac:dyDescent="0.3">
      <c r="A608" s="13">
        <v>45846</v>
      </c>
      <c r="B608" s="13" t="str">
        <f t="shared" si="99"/>
        <v>July</v>
      </c>
      <c r="C608" s="13" t="str">
        <f t="shared" si="100"/>
        <v>2025-07</v>
      </c>
      <c r="D608" s="8">
        <v>5</v>
      </c>
      <c r="E608" s="8">
        <v>16</v>
      </c>
      <c r="F608" s="8">
        <v>8</v>
      </c>
      <c r="G608" s="8">
        <v>2306</v>
      </c>
      <c r="H608" s="8">
        <v>20</v>
      </c>
      <c r="I608" s="14">
        <f t="shared" si="101"/>
        <v>2322</v>
      </c>
      <c r="J608" s="14">
        <f t="shared" si="102"/>
        <v>-12</v>
      </c>
      <c r="K608" s="15">
        <f t="shared" si="103"/>
        <v>-9.905254091300603E-3</v>
      </c>
      <c r="L608" s="16" t="str">
        <f t="shared" si="104"/>
        <v>Valid</v>
      </c>
      <c r="M608" s="16" t="str">
        <f t="shared" si="105"/>
        <v>Valid</v>
      </c>
      <c r="N608" s="17" t="str">
        <f t="shared" si="106"/>
        <v>Stable/Reducing</v>
      </c>
      <c r="O608" s="16">
        <f t="shared" si="107"/>
        <v>2.5</v>
      </c>
      <c r="P608" s="14">
        <f t="shared" si="109"/>
        <v>2234.8571428571427</v>
      </c>
      <c r="Q608" s="16">
        <f t="shared" si="108"/>
        <v>2918.4580782596145</v>
      </c>
    </row>
    <row r="609" spans="1:17" x14ac:dyDescent="0.3">
      <c r="A609" s="13">
        <v>45847</v>
      </c>
      <c r="B609" s="13" t="str">
        <f t="shared" si="99"/>
        <v>July</v>
      </c>
      <c r="C609" s="13" t="str">
        <f t="shared" si="100"/>
        <v>2025-07</v>
      </c>
      <c r="D609" s="8">
        <v>2</v>
      </c>
      <c r="E609" s="8">
        <v>18</v>
      </c>
      <c r="F609" s="8">
        <v>0</v>
      </c>
      <c r="G609" s="8">
        <v>2281</v>
      </c>
      <c r="H609" s="8">
        <v>32</v>
      </c>
      <c r="I609" s="14">
        <f t="shared" si="101"/>
        <v>2299</v>
      </c>
      <c r="J609" s="14">
        <f t="shared" si="102"/>
        <v>-32</v>
      </c>
      <c r="K609" s="15">
        <f t="shared" si="103"/>
        <v>-1.5224010439321443E-2</v>
      </c>
      <c r="L609" s="16" t="str">
        <f t="shared" si="104"/>
        <v>Valid</v>
      </c>
      <c r="M609" s="16" t="str">
        <f t="shared" si="105"/>
        <v>Valid</v>
      </c>
      <c r="N609" s="17" t="str">
        <f t="shared" si="106"/>
        <v>Stable/Reducing</v>
      </c>
      <c r="O609" s="16">
        <f t="shared" si="107"/>
        <v>0</v>
      </c>
      <c r="P609" s="14">
        <f t="shared" si="109"/>
        <v>2213</v>
      </c>
      <c r="Q609" s="16">
        <f t="shared" si="108"/>
        <v>2918.4580782596145</v>
      </c>
    </row>
    <row r="610" spans="1:17" x14ac:dyDescent="0.3">
      <c r="A610" s="13">
        <v>45848</v>
      </c>
      <c r="B610" s="13" t="str">
        <f t="shared" si="99"/>
        <v>July</v>
      </c>
      <c r="C610" s="13" t="str">
        <f t="shared" si="100"/>
        <v>2025-07</v>
      </c>
      <c r="D610" s="8">
        <v>2</v>
      </c>
      <c r="E610" s="8">
        <v>12</v>
      </c>
      <c r="F610" s="8">
        <v>3</v>
      </c>
      <c r="G610" s="8">
        <v>2252</v>
      </c>
      <c r="H610" s="8">
        <v>39</v>
      </c>
      <c r="I610" s="14">
        <f t="shared" si="101"/>
        <v>2264</v>
      </c>
      <c r="J610" s="14">
        <f t="shared" si="102"/>
        <v>-36</v>
      </c>
      <c r="K610" s="15">
        <f t="shared" si="103"/>
        <v>-2.0759717314487631E-2</v>
      </c>
      <c r="L610" s="16" t="str">
        <f t="shared" si="104"/>
        <v>Valid</v>
      </c>
      <c r="M610" s="16" t="str">
        <f t="shared" si="105"/>
        <v>Valid</v>
      </c>
      <c r="N610" s="17" t="str">
        <f t="shared" si="106"/>
        <v>Stable/Reducing</v>
      </c>
      <c r="O610" s="16">
        <f t="shared" si="107"/>
        <v>13</v>
      </c>
      <c r="P610" s="14">
        <f t="shared" si="109"/>
        <v>2190.1428571428573</v>
      </c>
      <c r="Q610" s="16">
        <f t="shared" si="108"/>
        <v>2918.4580782596145</v>
      </c>
    </row>
    <row r="611" spans="1:17" x14ac:dyDescent="0.3">
      <c r="A611" s="13">
        <v>45851</v>
      </c>
      <c r="B611" s="13" t="str">
        <f t="shared" si="99"/>
        <v>July</v>
      </c>
      <c r="C611" s="13" t="str">
        <f t="shared" si="100"/>
        <v>2025-07</v>
      </c>
      <c r="D611" s="8">
        <v>1</v>
      </c>
      <c r="E611" s="8">
        <v>13</v>
      </c>
      <c r="F611" s="8">
        <v>4</v>
      </c>
      <c r="G611" s="8">
        <v>2204</v>
      </c>
      <c r="H611" s="8">
        <v>10</v>
      </c>
      <c r="I611" s="14">
        <f t="shared" si="101"/>
        <v>2217</v>
      </c>
      <c r="J611" s="14">
        <f t="shared" si="102"/>
        <v>-6</v>
      </c>
      <c r="K611" s="15">
        <f t="shared" si="103"/>
        <v>-1.2178619756427604E-2</v>
      </c>
      <c r="L611" s="16" t="str">
        <f t="shared" si="104"/>
        <v>Valid</v>
      </c>
      <c r="M611" s="16" t="str">
        <f t="shared" si="105"/>
        <v>Valid</v>
      </c>
      <c r="N611" s="17" t="str">
        <f t="shared" si="106"/>
        <v>Stable/Reducing</v>
      </c>
      <c r="O611" s="16">
        <f t="shared" si="107"/>
        <v>2.5</v>
      </c>
      <c r="P611" s="14">
        <f t="shared" si="109"/>
        <v>2171</v>
      </c>
      <c r="Q611" s="16">
        <f t="shared" si="108"/>
        <v>2918.4580782596145</v>
      </c>
    </row>
    <row r="612" spans="1:17" x14ac:dyDescent="0.3">
      <c r="A612" s="13">
        <v>45852</v>
      </c>
      <c r="B612" s="13" t="str">
        <f t="shared" si="99"/>
        <v>July</v>
      </c>
      <c r="C612" s="13" t="str">
        <f t="shared" si="100"/>
        <v>2025-07</v>
      </c>
      <c r="D612" s="8">
        <v>2</v>
      </c>
      <c r="E612" s="8">
        <v>9</v>
      </c>
      <c r="F612" s="8">
        <v>1</v>
      </c>
      <c r="G612" s="8">
        <v>2181</v>
      </c>
      <c r="H612" s="8">
        <v>26</v>
      </c>
      <c r="I612" s="14">
        <f t="shared" si="101"/>
        <v>2190</v>
      </c>
      <c r="J612" s="14">
        <f t="shared" si="102"/>
        <v>-25</v>
      </c>
      <c r="K612" s="15">
        <f t="shared" si="103"/>
        <v>-5.0228310502283104E-3</v>
      </c>
      <c r="L612" s="16" t="str">
        <f t="shared" si="104"/>
        <v>Valid</v>
      </c>
      <c r="M612" s="16" t="str">
        <f t="shared" si="105"/>
        <v>Valid</v>
      </c>
      <c r="N612" s="17" t="str">
        <f t="shared" si="106"/>
        <v>Stable/Reducing</v>
      </c>
      <c r="O612" s="16">
        <f t="shared" si="107"/>
        <v>26</v>
      </c>
      <c r="P612" s="14">
        <f t="shared" si="109"/>
        <v>2158.8571428571427</v>
      </c>
      <c r="Q612" s="16">
        <f t="shared" si="108"/>
        <v>2918.4580782596145</v>
      </c>
    </row>
    <row r="613" spans="1:17" x14ac:dyDescent="0.3">
      <c r="A613" s="13">
        <v>45853</v>
      </c>
      <c r="B613" s="13" t="str">
        <f t="shared" si="99"/>
        <v>July</v>
      </c>
      <c r="C613" s="13" t="str">
        <f t="shared" si="100"/>
        <v>2025-07</v>
      </c>
      <c r="D613" s="8">
        <v>0</v>
      </c>
      <c r="E613" s="8">
        <v>8</v>
      </c>
      <c r="F613" s="8">
        <v>5</v>
      </c>
      <c r="G613" s="8">
        <v>2171</v>
      </c>
      <c r="H613" s="8">
        <v>17</v>
      </c>
      <c r="I613" s="14">
        <f t="shared" si="101"/>
        <v>2179</v>
      </c>
      <c r="J613" s="14">
        <f t="shared" si="102"/>
        <v>-12</v>
      </c>
      <c r="K613" s="15">
        <f t="shared" si="103"/>
        <v>-2.7535566773749425E-3</v>
      </c>
      <c r="L613" s="16" t="str">
        <f t="shared" si="104"/>
        <v>Valid</v>
      </c>
      <c r="M613" s="16" t="str">
        <f t="shared" si="105"/>
        <v>Valid</v>
      </c>
      <c r="N613" s="17" t="str">
        <f t="shared" si="106"/>
        <v>Stable/Reducing</v>
      </c>
      <c r="O613" s="16">
        <f t="shared" si="107"/>
        <v>3.4</v>
      </c>
      <c r="P613" s="14">
        <f t="shared" si="109"/>
        <v>2148</v>
      </c>
      <c r="Q613" s="16">
        <f t="shared" si="108"/>
        <v>2918.4580782596145</v>
      </c>
    </row>
    <row r="614" spans="1:17" x14ac:dyDescent="0.3">
      <c r="A614" s="13">
        <v>45854</v>
      </c>
      <c r="B614" s="13" t="str">
        <f t="shared" si="99"/>
        <v>July</v>
      </c>
      <c r="C614" s="13" t="str">
        <f t="shared" si="100"/>
        <v>2025-07</v>
      </c>
      <c r="D614" s="8">
        <v>1</v>
      </c>
      <c r="E614" s="8">
        <v>9</v>
      </c>
      <c r="F614" s="8">
        <v>0</v>
      </c>
      <c r="G614" s="8">
        <v>2164</v>
      </c>
      <c r="H614" s="8">
        <v>11</v>
      </c>
      <c r="I614" s="14">
        <f t="shared" si="101"/>
        <v>2173</v>
      </c>
      <c r="J614" s="14">
        <f t="shared" si="102"/>
        <v>-11</v>
      </c>
      <c r="K614" s="15">
        <f t="shared" si="103"/>
        <v>-1.8407731247123793E-3</v>
      </c>
      <c r="L614" s="16" t="str">
        <f t="shared" si="104"/>
        <v>Valid</v>
      </c>
      <c r="M614" s="16" t="str">
        <f t="shared" si="105"/>
        <v>Valid</v>
      </c>
      <c r="N614" s="17" t="str">
        <f t="shared" si="106"/>
        <v>Stable/Reducing</v>
      </c>
      <c r="O614" s="16">
        <f t="shared" si="107"/>
        <v>0</v>
      </c>
      <c r="P614" s="14">
        <f t="shared" si="109"/>
        <v>2136.7142857142858</v>
      </c>
      <c r="Q614" s="16">
        <f t="shared" si="108"/>
        <v>2918.4580782596145</v>
      </c>
    </row>
    <row r="615" spans="1:17" x14ac:dyDescent="0.3">
      <c r="A615" s="13">
        <v>45855</v>
      </c>
      <c r="B615" s="13" t="str">
        <f t="shared" si="99"/>
        <v>July</v>
      </c>
      <c r="C615" s="13" t="str">
        <f t="shared" si="100"/>
        <v>2025-07</v>
      </c>
      <c r="D615" s="8">
        <v>3</v>
      </c>
      <c r="E615" s="8">
        <v>16</v>
      </c>
      <c r="F615" s="8">
        <v>2</v>
      </c>
      <c r="G615" s="8">
        <v>2153</v>
      </c>
      <c r="H615" s="8">
        <v>17</v>
      </c>
      <c r="I615" s="14">
        <f t="shared" si="101"/>
        <v>2169</v>
      </c>
      <c r="J615" s="14">
        <f t="shared" si="102"/>
        <v>-15</v>
      </c>
      <c r="K615" s="15">
        <f t="shared" si="103"/>
        <v>-1.3831258644536652E-2</v>
      </c>
      <c r="L615" s="16" t="str">
        <f t="shared" si="104"/>
        <v>Valid</v>
      </c>
      <c r="M615" s="16" t="str">
        <f t="shared" si="105"/>
        <v>Valid</v>
      </c>
      <c r="N615" s="17" t="str">
        <f t="shared" si="106"/>
        <v>Stable/Reducing</v>
      </c>
      <c r="O615" s="16">
        <f t="shared" si="107"/>
        <v>8.5</v>
      </c>
      <c r="P615" s="14">
        <f t="shared" si="109"/>
        <v>2124.7142857142858</v>
      </c>
      <c r="Q615" s="16">
        <f t="shared" si="108"/>
        <v>2918.4580782596145</v>
      </c>
    </row>
    <row r="616" spans="1:17" x14ac:dyDescent="0.3">
      <c r="A616" s="13">
        <v>45859</v>
      </c>
      <c r="B616" s="13" t="str">
        <f t="shared" si="99"/>
        <v>July</v>
      </c>
      <c r="C616" s="13" t="str">
        <f t="shared" si="100"/>
        <v>2025-07</v>
      </c>
      <c r="D616" s="8">
        <v>4</v>
      </c>
      <c r="E616" s="8">
        <v>18</v>
      </c>
      <c r="F616" s="8">
        <v>7</v>
      </c>
      <c r="G616" s="8">
        <v>2121</v>
      </c>
      <c r="H616" s="8">
        <v>16</v>
      </c>
      <c r="I616" s="14">
        <f t="shared" si="101"/>
        <v>2139</v>
      </c>
      <c r="J616" s="14">
        <f t="shared" si="102"/>
        <v>-9</v>
      </c>
      <c r="K616" s="15">
        <f t="shared" si="103"/>
        <v>-4.2075736325385693E-3</v>
      </c>
      <c r="L616" s="16" t="str">
        <f t="shared" si="104"/>
        <v>Valid</v>
      </c>
      <c r="M616" s="16" t="str">
        <f t="shared" si="105"/>
        <v>Valid</v>
      </c>
      <c r="N616" s="17" t="str">
        <f t="shared" si="106"/>
        <v>Stable/Reducing</v>
      </c>
      <c r="O616" s="16">
        <f t="shared" si="107"/>
        <v>2.2857142857142856</v>
      </c>
      <c r="P616" s="14">
        <f t="shared" si="109"/>
        <v>2112</v>
      </c>
      <c r="Q616" s="16">
        <f t="shared" si="108"/>
        <v>2918.4580782596145</v>
      </c>
    </row>
    <row r="617" spans="1:17" x14ac:dyDescent="0.3">
      <c r="A617" s="13">
        <v>45860</v>
      </c>
      <c r="B617" s="13" t="str">
        <f t="shared" si="99"/>
        <v>July</v>
      </c>
      <c r="C617" s="13" t="str">
        <f t="shared" si="100"/>
        <v>2025-07</v>
      </c>
      <c r="D617" s="8">
        <v>5</v>
      </c>
      <c r="E617" s="8">
        <v>13</v>
      </c>
      <c r="F617" s="8">
        <v>3</v>
      </c>
      <c r="G617" s="8">
        <v>2117</v>
      </c>
      <c r="H617" s="8">
        <v>16</v>
      </c>
      <c r="I617" s="14">
        <f t="shared" si="101"/>
        <v>2130</v>
      </c>
      <c r="J617" s="14">
        <f t="shared" si="102"/>
        <v>-13</v>
      </c>
      <c r="K617" s="15">
        <f t="shared" si="103"/>
        <v>9.3896713615023472E-4</v>
      </c>
      <c r="L617" s="16" t="str">
        <f t="shared" si="104"/>
        <v>Valid</v>
      </c>
      <c r="M617" s="16" t="str">
        <f t="shared" si="105"/>
        <v>Valid</v>
      </c>
      <c r="N617" s="17" t="str">
        <f t="shared" si="106"/>
        <v>Stable/Reducing</v>
      </c>
      <c r="O617" s="16">
        <f t="shared" si="107"/>
        <v>5.333333333333333</v>
      </c>
      <c r="P617" s="14">
        <f t="shared" si="109"/>
        <v>2103.2857142857142</v>
      </c>
      <c r="Q617" s="16">
        <f t="shared" si="108"/>
        <v>2918.4580782596145</v>
      </c>
    </row>
    <row r="618" spans="1:17" x14ac:dyDescent="0.3">
      <c r="A618" s="13">
        <v>45861</v>
      </c>
      <c r="B618" s="13" t="str">
        <f t="shared" si="99"/>
        <v>July</v>
      </c>
      <c r="C618" s="13" t="str">
        <f t="shared" si="100"/>
        <v>2025-07</v>
      </c>
      <c r="D618" s="8">
        <v>6</v>
      </c>
      <c r="E618" s="8">
        <v>21</v>
      </c>
      <c r="F618" s="8">
        <v>5</v>
      </c>
      <c r="G618" s="8">
        <v>2111</v>
      </c>
      <c r="H618" s="8">
        <v>14</v>
      </c>
      <c r="I618" s="14">
        <f t="shared" si="101"/>
        <v>2132</v>
      </c>
      <c r="J618" s="14">
        <f t="shared" si="102"/>
        <v>-9</v>
      </c>
      <c r="K618" s="15">
        <f t="shared" si="103"/>
        <v>-8.4427767354596627E-3</v>
      </c>
      <c r="L618" s="16" t="str">
        <f t="shared" si="104"/>
        <v>Valid</v>
      </c>
      <c r="M618" s="16" t="str">
        <f t="shared" si="105"/>
        <v>Valid</v>
      </c>
      <c r="N618" s="17" t="str">
        <f t="shared" si="106"/>
        <v>Stable/Reducing</v>
      </c>
      <c r="O618" s="16">
        <f t="shared" si="107"/>
        <v>2.8</v>
      </c>
      <c r="P618" s="14">
        <f t="shared" si="109"/>
        <v>2094.2857142857142</v>
      </c>
      <c r="Q618" s="16">
        <f t="shared" si="108"/>
        <v>2918.4580782596145</v>
      </c>
    </row>
    <row r="619" spans="1:17" x14ac:dyDescent="0.3">
      <c r="A619" s="13">
        <v>45862</v>
      </c>
      <c r="B619" s="13" t="str">
        <f t="shared" si="99"/>
        <v>July</v>
      </c>
      <c r="C619" s="13" t="str">
        <f t="shared" si="100"/>
        <v>2025-07</v>
      </c>
      <c r="D619" s="8">
        <v>6</v>
      </c>
      <c r="E619" s="8">
        <v>18</v>
      </c>
      <c r="F619" s="8">
        <v>7</v>
      </c>
      <c r="G619" s="8">
        <v>2096</v>
      </c>
      <c r="H619" s="8">
        <v>29</v>
      </c>
      <c r="I619" s="14">
        <f t="shared" si="101"/>
        <v>2114</v>
      </c>
      <c r="J619" s="14">
        <f t="shared" si="102"/>
        <v>-22</v>
      </c>
      <c r="K619" s="15">
        <f t="shared" si="103"/>
        <v>-6.6225165562913907E-3</v>
      </c>
      <c r="L619" s="16" t="str">
        <f t="shared" si="104"/>
        <v>Valid</v>
      </c>
      <c r="M619" s="16" t="str">
        <f t="shared" si="105"/>
        <v>Valid</v>
      </c>
      <c r="N619" s="17" t="str">
        <f t="shared" si="106"/>
        <v>Stable/Reducing</v>
      </c>
      <c r="O619" s="16">
        <f t="shared" si="107"/>
        <v>4.1428571428571432</v>
      </c>
      <c r="P619" s="14">
        <f t="shared" si="109"/>
        <v>2086.1428571428573</v>
      </c>
      <c r="Q619" s="16">
        <f t="shared" si="108"/>
        <v>2918.4580782596145</v>
      </c>
    </row>
    <row r="620" spans="1:17" x14ac:dyDescent="0.3">
      <c r="A620" s="13">
        <v>45865</v>
      </c>
      <c r="B620" s="13" t="str">
        <f t="shared" si="99"/>
        <v>July</v>
      </c>
      <c r="C620" s="13" t="str">
        <f t="shared" si="100"/>
        <v>2025-07</v>
      </c>
      <c r="D620" s="8">
        <v>1</v>
      </c>
      <c r="E620" s="8">
        <v>12</v>
      </c>
      <c r="F620" s="8">
        <v>2</v>
      </c>
      <c r="G620" s="8">
        <v>2088</v>
      </c>
      <c r="H620" s="8">
        <v>4</v>
      </c>
      <c r="I620" s="14">
        <f t="shared" si="101"/>
        <v>2100</v>
      </c>
      <c r="J620" s="14">
        <f t="shared" si="102"/>
        <v>-2</v>
      </c>
      <c r="K620" s="15">
        <f t="shared" si="103"/>
        <v>-5.2380952380952379E-3</v>
      </c>
      <c r="L620" s="16" t="str">
        <f t="shared" si="104"/>
        <v>Valid</v>
      </c>
      <c r="M620" s="16" t="str">
        <f t="shared" si="105"/>
        <v>Valid</v>
      </c>
      <c r="N620" s="17" t="str">
        <f t="shared" si="106"/>
        <v>Stable/Reducing</v>
      </c>
      <c r="O620" s="16">
        <f t="shared" si="107"/>
        <v>2</v>
      </c>
      <c r="P620" s="14">
        <f t="shared" si="109"/>
        <v>2078.7142857142858</v>
      </c>
      <c r="Q620" s="16">
        <f t="shared" si="108"/>
        <v>2918.4580782596145</v>
      </c>
    </row>
    <row r="621" spans="1:17" x14ac:dyDescent="0.3">
      <c r="A621" s="13">
        <v>45866</v>
      </c>
      <c r="B621" s="13" t="str">
        <f t="shared" si="99"/>
        <v>July</v>
      </c>
      <c r="C621" s="13" t="str">
        <f t="shared" si="100"/>
        <v>2025-07</v>
      </c>
      <c r="D621" s="8">
        <v>2</v>
      </c>
      <c r="E621" s="8">
        <v>9</v>
      </c>
      <c r="F621" s="8">
        <v>3</v>
      </c>
      <c r="G621" s="8">
        <v>2080</v>
      </c>
      <c r="H621" s="8">
        <v>14</v>
      </c>
      <c r="I621" s="14">
        <f t="shared" si="101"/>
        <v>2089</v>
      </c>
      <c r="J621" s="14">
        <f t="shared" si="102"/>
        <v>-11</v>
      </c>
      <c r="K621" s="15">
        <f t="shared" si="103"/>
        <v>-4.3082814743896601E-3</v>
      </c>
      <c r="L621" s="16" t="str">
        <f t="shared" si="104"/>
        <v>Valid</v>
      </c>
      <c r="M621" s="16" t="str">
        <f t="shared" si="105"/>
        <v>Valid</v>
      </c>
      <c r="N621" s="17" t="str">
        <f t="shared" si="106"/>
        <v>Stable/Reducing</v>
      </c>
      <c r="O621" s="16">
        <f t="shared" si="107"/>
        <v>4.666666666666667</v>
      </c>
      <c r="P621" s="14">
        <f t="shared" si="109"/>
        <v>2073.4285714285716</v>
      </c>
      <c r="Q621" s="16">
        <f t="shared" si="108"/>
        <v>2918.4580782596145</v>
      </c>
    </row>
    <row r="622" spans="1:17" x14ac:dyDescent="0.3">
      <c r="A622" s="13">
        <v>45867</v>
      </c>
      <c r="B622" s="13" t="str">
        <f t="shared" si="99"/>
        <v>July</v>
      </c>
      <c r="C622" s="13" t="str">
        <f t="shared" si="100"/>
        <v>2025-07</v>
      </c>
      <c r="D622" s="8">
        <v>2</v>
      </c>
      <c r="E622" s="8">
        <v>8</v>
      </c>
      <c r="F622" s="8">
        <v>3</v>
      </c>
      <c r="G622" s="8">
        <v>2072</v>
      </c>
      <c r="H622" s="8">
        <v>12</v>
      </c>
      <c r="I622" s="14">
        <f t="shared" si="101"/>
        <v>2080</v>
      </c>
      <c r="J622" s="14">
        <f t="shared" si="102"/>
        <v>-9</v>
      </c>
      <c r="K622" s="15">
        <f t="shared" si="103"/>
        <v>-9.6153846153846159E-4</v>
      </c>
      <c r="L622" s="16" t="str">
        <f t="shared" si="104"/>
        <v>Valid</v>
      </c>
      <c r="M622" s="16" t="str">
        <f t="shared" si="105"/>
        <v>Valid</v>
      </c>
      <c r="N622" s="17" t="str">
        <f t="shared" si="106"/>
        <v>Stable/Reducing</v>
      </c>
      <c r="O622" s="16">
        <f t="shared" si="107"/>
        <v>4</v>
      </c>
      <c r="P622" s="14">
        <f t="shared" si="109"/>
        <v>2068.2857142857142</v>
      </c>
      <c r="Q622" s="16">
        <f t="shared" si="108"/>
        <v>2918.4580782596145</v>
      </c>
    </row>
    <row r="623" spans="1:17" x14ac:dyDescent="0.3">
      <c r="A623" s="13">
        <v>45868</v>
      </c>
      <c r="B623" s="13" t="str">
        <f t="shared" si="99"/>
        <v>July</v>
      </c>
      <c r="C623" s="13" t="str">
        <f t="shared" si="100"/>
        <v>2025-07</v>
      </c>
      <c r="D623" s="8">
        <v>4</v>
      </c>
      <c r="E623" s="8">
        <v>15</v>
      </c>
      <c r="F623" s="8">
        <v>4</v>
      </c>
      <c r="G623" s="8">
        <v>2063</v>
      </c>
      <c r="H623" s="8">
        <v>16</v>
      </c>
      <c r="I623" s="14">
        <f t="shared" si="101"/>
        <v>2078</v>
      </c>
      <c r="J623" s="14">
        <f t="shared" si="102"/>
        <v>-12</v>
      </c>
      <c r="K623" s="15">
        <f t="shared" si="103"/>
        <v>-5.2935514918190565E-3</v>
      </c>
      <c r="L623" s="16" t="str">
        <f t="shared" si="104"/>
        <v>Valid</v>
      </c>
      <c r="M623" s="16" t="str">
        <f t="shared" si="105"/>
        <v>Valid</v>
      </c>
      <c r="N623" s="17" t="str">
        <f t="shared" si="106"/>
        <v>Stable/Reducing</v>
      </c>
      <c r="O623" s="16">
        <f t="shared" si="107"/>
        <v>4</v>
      </c>
      <c r="P623" s="14">
        <f t="shared" si="109"/>
        <v>2063.8571428571427</v>
      </c>
      <c r="Q623" s="16">
        <f t="shared" si="108"/>
        <v>2918.4580782596145</v>
      </c>
    </row>
    <row r="624" spans="1:17" x14ac:dyDescent="0.3">
      <c r="A624" s="13">
        <v>45869</v>
      </c>
      <c r="B624" s="13" t="str">
        <f t="shared" si="99"/>
        <v>July</v>
      </c>
      <c r="C624" s="13" t="str">
        <f t="shared" si="100"/>
        <v>2025-07</v>
      </c>
      <c r="D624" s="8">
        <v>2</v>
      </c>
      <c r="E624" s="8">
        <v>9</v>
      </c>
      <c r="F624" s="8">
        <v>6</v>
      </c>
      <c r="G624" s="8">
        <v>2058</v>
      </c>
      <c r="H624" s="8">
        <v>15</v>
      </c>
      <c r="I624" s="14">
        <f t="shared" si="101"/>
        <v>2067</v>
      </c>
      <c r="J624" s="14">
        <f t="shared" si="102"/>
        <v>-9</v>
      </c>
      <c r="K624" s="15">
        <f t="shared" si="103"/>
        <v>3.8703434929850023E-3</v>
      </c>
      <c r="L624" s="16" t="str">
        <f t="shared" si="104"/>
        <v>Valid</v>
      </c>
      <c r="M624" s="16" t="str">
        <f t="shared" si="105"/>
        <v>Valid</v>
      </c>
      <c r="N624" s="17" t="str">
        <f t="shared" si="106"/>
        <v>Stable/Reducing</v>
      </c>
      <c r="O624" s="16">
        <f t="shared" si="107"/>
        <v>2.5</v>
      </c>
      <c r="P624" s="14">
        <f t="shared" si="109"/>
        <v>2056.1428571428573</v>
      </c>
      <c r="Q624" s="16">
        <f t="shared" si="108"/>
        <v>2918.4580782596145</v>
      </c>
    </row>
    <row r="625" spans="1:17" x14ac:dyDescent="0.3">
      <c r="A625" s="13">
        <v>45872</v>
      </c>
      <c r="B625" s="13" t="str">
        <f t="shared" si="99"/>
        <v>August</v>
      </c>
      <c r="C625" s="13" t="str">
        <f t="shared" si="100"/>
        <v>2025-08</v>
      </c>
      <c r="D625" s="8">
        <v>5</v>
      </c>
      <c r="E625" s="8">
        <v>26</v>
      </c>
      <c r="F625" s="8">
        <v>3</v>
      </c>
      <c r="G625" s="8">
        <v>2049</v>
      </c>
      <c r="H625" s="8">
        <v>5</v>
      </c>
      <c r="I625" s="14">
        <f t="shared" si="101"/>
        <v>2075</v>
      </c>
      <c r="J625" s="14">
        <f t="shared" si="102"/>
        <v>-2</v>
      </c>
      <c r="K625" s="15">
        <f t="shared" si="103"/>
        <v>-6.265060240963855E-3</v>
      </c>
      <c r="L625" s="16" t="str">
        <f t="shared" si="104"/>
        <v>Valid</v>
      </c>
      <c r="M625" s="16" t="str">
        <f t="shared" si="105"/>
        <v>Valid</v>
      </c>
      <c r="N625" s="17" t="str">
        <f t="shared" si="106"/>
        <v>Stable/Reducing</v>
      </c>
      <c r="O625" s="16">
        <f t="shared" si="107"/>
        <v>1.6666666666666667</v>
      </c>
      <c r="P625" s="14">
        <f t="shared" si="109"/>
        <v>2049.7142857142858</v>
      </c>
      <c r="Q625" s="16">
        <f t="shared" si="108"/>
        <v>2918.4580782596145</v>
      </c>
    </row>
    <row r="626" spans="1:17" x14ac:dyDescent="0.3">
      <c r="A626" s="13">
        <v>45873</v>
      </c>
      <c r="B626" s="13" t="str">
        <f t="shared" si="99"/>
        <v>August</v>
      </c>
      <c r="C626" s="13" t="str">
        <f t="shared" si="100"/>
        <v>2025-08</v>
      </c>
      <c r="D626" s="8">
        <v>5</v>
      </c>
      <c r="E626" s="8">
        <v>22</v>
      </c>
      <c r="F626" s="8">
        <v>11</v>
      </c>
      <c r="G626" s="8">
        <v>2040</v>
      </c>
      <c r="H626" s="8">
        <v>14</v>
      </c>
      <c r="I626" s="14">
        <f t="shared" si="101"/>
        <v>2062</v>
      </c>
      <c r="J626" s="14">
        <f t="shared" si="102"/>
        <v>-3</v>
      </c>
      <c r="K626" s="15">
        <f t="shared" si="103"/>
        <v>4.8496605237633366E-4</v>
      </c>
      <c r="L626" s="16" t="str">
        <f t="shared" si="104"/>
        <v>Valid</v>
      </c>
      <c r="M626" s="16" t="str">
        <f t="shared" si="105"/>
        <v>Valid</v>
      </c>
      <c r="N626" s="17" t="str">
        <f t="shared" si="106"/>
        <v>Stable/Reducing</v>
      </c>
      <c r="O626" s="16">
        <f t="shared" si="107"/>
        <v>1.2727272727272727</v>
      </c>
      <c r="P626" s="14">
        <f t="shared" si="109"/>
        <v>2044.2857142857142</v>
      </c>
      <c r="Q626" s="16">
        <f t="shared" si="108"/>
        <v>2918.4580782596145</v>
      </c>
    </row>
    <row r="627" spans="1:17" x14ac:dyDescent="0.3">
      <c r="A627" s="13">
        <v>45874</v>
      </c>
      <c r="B627" s="13" t="str">
        <f t="shared" si="99"/>
        <v>August</v>
      </c>
      <c r="C627" s="13" t="str">
        <f t="shared" si="100"/>
        <v>2025-08</v>
      </c>
      <c r="D627" s="8">
        <v>2</v>
      </c>
      <c r="E627" s="8">
        <v>21</v>
      </c>
      <c r="F627" s="8">
        <v>10</v>
      </c>
      <c r="G627" s="8">
        <v>2042</v>
      </c>
      <c r="H627" s="8">
        <v>14</v>
      </c>
      <c r="I627" s="14">
        <f t="shared" si="101"/>
        <v>2063</v>
      </c>
      <c r="J627" s="14">
        <f t="shared" si="102"/>
        <v>-4</v>
      </c>
      <c r="K627" s="15">
        <f t="shared" si="103"/>
        <v>-4.8473097430925833E-3</v>
      </c>
      <c r="L627" s="16" t="str">
        <f t="shared" si="104"/>
        <v>Valid</v>
      </c>
      <c r="M627" s="16" t="str">
        <f t="shared" si="105"/>
        <v>Valid</v>
      </c>
      <c r="N627" s="17" t="str">
        <f t="shared" si="106"/>
        <v>Stable/Reducing</v>
      </c>
      <c r="O627" s="16">
        <f t="shared" si="107"/>
        <v>1.4</v>
      </c>
      <c r="P627" s="14">
        <f t="shared" si="109"/>
        <v>2038.1428571428571</v>
      </c>
      <c r="Q627" s="16">
        <f t="shared" si="108"/>
        <v>2918.4580782596145</v>
      </c>
    </row>
    <row r="628" spans="1:17" x14ac:dyDescent="0.3">
      <c r="A628" s="13">
        <v>45875</v>
      </c>
      <c r="B628" s="13" t="str">
        <f t="shared" si="99"/>
        <v>August</v>
      </c>
      <c r="C628" s="13" t="str">
        <f t="shared" si="100"/>
        <v>2025-08</v>
      </c>
      <c r="D628" s="8">
        <v>4</v>
      </c>
      <c r="E628" s="8">
        <v>17</v>
      </c>
      <c r="F628" s="8">
        <v>3</v>
      </c>
      <c r="G628" s="8">
        <v>2036</v>
      </c>
      <c r="H628" s="8">
        <v>13</v>
      </c>
      <c r="I628" s="14">
        <f t="shared" si="101"/>
        <v>2053</v>
      </c>
      <c r="J628" s="14">
        <f t="shared" si="102"/>
        <v>-10</v>
      </c>
      <c r="K628" s="15">
        <f t="shared" si="103"/>
        <v>-1.948368241597662E-3</v>
      </c>
      <c r="L628" s="16" t="str">
        <f t="shared" si="104"/>
        <v>Valid</v>
      </c>
      <c r="M628" s="16" t="str">
        <f t="shared" si="105"/>
        <v>Valid</v>
      </c>
      <c r="N628" s="17" t="str">
        <f t="shared" si="106"/>
        <v>Stable/Reducing</v>
      </c>
      <c r="O628" s="16">
        <f t="shared" si="107"/>
        <v>4.333333333333333</v>
      </c>
      <c r="P628" s="14">
        <f t="shared" si="109"/>
        <v>2032.1428571428571</v>
      </c>
      <c r="Q628" s="16">
        <f t="shared" si="108"/>
        <v>2918.4580782596145</v>
      </c>
    </row>
    <row r="629" spans="1:17" x14ac:dyDescent="0.3">
      <c r="A629" s="13">
        <v>45876</v>
      </c>
      <c r="B629" s="13" t="str">
        <f t="shared" si="99"/>
        <v>August</v>
      </c>
      <c r="C629" s="13" t="str">
        <f t="shared" si="100"/>
        <v>2025-08</v>
      </c>
      <c r="D629" s="8">
        <v>4</v>
      </c>
      <c r="E629" s="8">
        <v>18</v>
      </c>
      <c r="F629" s="8">
        <v>6</v>
      </c>
      <c r="G629" s="8">
        <v>2031</v>
      </c>
      <c r="H629" s="8">
        <v>17</v>
      </c>
      <c r="I629" s="14">
        <f t="shared" si="101"/>
        <v>2049</v>
      </c>
      <c r="J629" s="14">
        <f t="shared" si="102"/>
        <v>-11</v>
      </c>
      <c r="K629" s="15">
        <f t="shared" si="103"/>
        <v>-1.2201073694485115E-2</v>
      </c>
      <c r="L629" s="16" t="str">
        <f t="shared" si="104"/>
        <v>Valid</v>
      </c>
      <c r="M629" s="16" t="str">
        <f t="shared" si="105"/>
        <v>Valid</v>
      </c>
      <c r="N629" s="17" t="str">
        <f t="shared" si="106"/>
        <v>Stable/Reducing</v>
      </c>
      <c r="O629" s="16">
        <f t="shared" si="107"/>
        <v>2.8333333333333335</v>
      </c>
      <c r="P629" s="14">
        <f t="shared" si="109"/>
        <v>2025.2857142857142</v>
      </c>
      <c r="Q629" s="16">
        <f t="shared" si="108"/>
        <v>2918.4580782596145</v>
      </c>
    </row>
    <row r="630" spans="1:17" x14ac:dyDescent="0.3">
      <c r="A630" s="13">
        <v>45879</v>
      </c>
      <c r="B630" s="13" t="str">
        <f t="shared" si="99"/>
        <v>August</v>
      </c>
      <c r="C630" s="13" t="str">
        <f t="shared" si="100"/>
        <v>2025-08</v>
      </c>
      <c r="D630" s="8">
        <v>0</v>
      </c>
      <c r="E630" s="8">
        <v>18</v>
      </c>
      <c r="F630" s="8">
        <v>8</v>
      </c>
      <c r="G630" s="8">
        <v>2006</v>
      </c>
      <c r="H630" s="8">
        <v>12</v>
      </c>
      <c r="I630" s="14">
        <f t="shared" si="101"/>
        <v>2024</v>
      </c>
      <c r="J630" s="14">
        <f t="shared" si="102"/>
        <v>-4</v>
      </c>
      <c r="K630" s="15">
        <f t="shared" si="103"/>
        <v>-9.8814229249011851E-4</v>
      </c>
      <c r="L630" s="16" t="str">
        <f t="shared" si="104"/>
        <v>Valid</v>
      </c>
      <c r="M630" s="16" t="str">
        <f t="shared" si="105"/>
        <v>Valid</v>
      </c>
      <c r="N630" s="17" t="str">
        <f t="shared" si="106"/>
        <v>Stable/Reducing</v>
      </c>
      <c r="O630" s="16">
        <f t="shared" si="107"/>
        <v>1.5</v>
      </c>
      <c r="P630" s="14">
        <f t="shared" si="109"/>
        <v>2019</v>
      </c>
      <c r="Q630" s="16">
        <f t="shared" si="108"/>
        <v>2918.4580782596145</v>
      </c>
    </row>
    <row r="631" spans="1:17" x14ac:dyDescent="0.3">
      <c r="A631" s="13">
        <v>45880</v>
      </c>
      <c r="B631" s="13" t="str">
        <f t="shared" si="99"/>
        <v>August</v>
      </c>
      <c r="C631" s="13" t="str">
        <f t="shared" si="100"/>
        <v>2025-08</v>
      </c>
      <c r="D631" s="8">
        <v>6</v>
      </c>
      <c r="E631" s="8">
        <v>23</v>
      </c>
      <c r="F631" s="8">
        <v>4</v>
      </c>
      <c r="G631" s="8">
        <v>1999</v>
      </c>
      <c r="H631" s="8">
        <v>16</v>
      </c>
      <c r="I631" s="14">
        <f t="shared" si="101"/>
        <v>2022</v>
      </c>
      <c r="J631" s="14">
        <f t="shared" si="102"/>
        <v>-12</v>
      </c>
      <c r="K631" s="15">
        <f t="shared" si="103"/>
        <v>7.4183976261127599E-3</v>
      </c>
      <c r="L631" s="16" t="str">
        <f t="shared" si="104"/>
        <v>Valid</v>
      </c>
      <c r="M631" s="16" t="str">
        <f t="shared" si="105"/>
        <v>Valid</v>
      </c>
      <c r="N631" s="17" t="str">
        <f t="shared" si="106"/>
        <v>Stable/Reducing</v>
      </c>
      <c r="O631" s="16">
        <f t="shared" si="107"/>
        <v>4</v>
      </c>
      <c r="P631" s="14">
        <f t="shared" si="109"/>
        <v>2017.7142857142858</v>
      </c>
      <c r="Q631" s="16">
        <f t="shared" si="108"/>
        <v>2918.4580782596145</v>
      </c>
    </row>
    <row r="632" spans="1:17" x14ac:dyDescent="0.3">
      <c r="A632" s="13">
        <v>45881</v>
      </c>
      <c r="B632" s="13" t="str">
        <f t="shared" si="99"/>
        <v>August</v>
      </c>
      <c r="C632" s="13" t="str">
        <f t="shared" si="100"/>
        <v>2025-08</v>
      </c>
      <c r="D632" s="8">
        <v>8</v>
      </c>
      <c r="E632" s="8">
        <v>38</v>
      </c>
      <c r="F632" s="8">
        <v>9</v>
      </c>
      <c r="G632" s="8">
        <v>1999</v>
      </c>
      <c r="H632" s="8">
        <v>9</v>
      </c>
      <c r="I632" s="14">
        <f t="shared" si="101"/>
        <v>2037</v>
      </c>
      <c r="J632" s="14">
        <f t="shared" si="102"/>
        <v>0</v>
      </c>
      <c r="K632" s="15">
        <f t="shared" si="103"/>
        <v>-8.836524300441826E-3</v>
      </c>
      <c r="L632" s="16" t="str">
        <f t="shared" si="104"/>
        <v>Valid</v>
      </c>
      <c r="M632" s="16" t="str">
        <f t="shared" si="105"/>
        <v>Valid</v>
      </c>
      <c r="N632" s="17" t="str">
        <f t="shared" si="106"/>
        <v>Stable/Reducing</v>
      </c>
      <c r="O632" s="16">
        <f t="shared" si="107"/>
        <v>1</v>
      </c>
      <c r="P632" s="14">
        <f t="shared" si="109"/>
        <v>2017.5714285714287</v>
      </c>
      <c r="Q632" s="16">
        <f t="shared" si="108"/>
        <v>2918.4580782596145</v>
      </c>
    </row>
    <row r="633" spans="1:17" x14ac:dyDescent="0.3">
      <c r="A633" s="13">
        <v>45882</v>
      </c>
      <c r="B633" s="13" t="str">
        <f t="shared" si="99"/>
        <v>August</v>
      </c>
      <c r="C633" s="13" t="str">
        <f t="shared" si="100"/>
        <v>2025-08</v>
      </c>
      <c r="D633" s="8">
        <v>6</v>
      </c>
      <c r="E633" s="8">
        <v>22</v>
      </c>
      <c r="F633" s="8">
        <v>12</v>
      </c>
      <c r="G633" s="8">
        <v>1997</v>
      </c>
      <c r="H633" s="8">
        <v>17</v>
      </c>
      <c r="I633" s="14">
        <f t="shared" si="101"/>
        <v>2019</v>
      </c>
      <c r="J633" s="14">
        <f t="shared" si="102"/>
        <v>-5</v>
      </c>
      <c r="K633" s="15">
        <f t="shared" si="103"/>
        <v>9.9058940069341253E-4</v>
      </c>
      <c r="L633" s="16" t="str">
        <f t="shared" si="104"/>
        <v>Valid</v>
      </c>
      <c r="M633" s="16" t="str">
        <f t="shared" si="105"/>
        <v>Valid</v>
      </c>
      <c r="N633" s="17" t="str">
        <f t="shared" si="106"/>
        <v>Stable/Reducing</v>
      </c>
      <c r="O633" s="16">
        <f t="shared" si="107"/>
        <v>1.4166666666666667</v>
      </c>
      <c r="P633" s="14">
        <f t="shared" si="109"/>
        <v>2015.2857142857142</v>
      </c>
      <c r="Q633" s="16">
        <f t="shared" si="108"/>
        <v>2918.4580782596145</v>
      </c>
    </row>
    <row r="634" spans="1:17" x14ac:dyDescent="0.3">
      <c r="A634" s="13">
        <v>45883</v>
      </c>
      <c r="B634" s="13" t="str">
        <f t="shared" si="99"/>
        <v>August</v>
      </c>
      <c r="C634" s="13" t="str">
        <f t="shared" si="100"/>
        <v>2025-08</v>
      </c>
      <c r="D634" s="8">
        <v>3</v>
      </c>
      <c r="E634" s="8">
        <v>27</v>
      </c>
      <c r="F634" s="8">
        <v>4</v>
      </c>
      <c r="G634" s="8">
        <v>1994</v>
      </c>
      <c r="H634" s="8">
        <v>11</v>
      </c>
      <c r="I634" s="14">
        <f t="shared" si="101"/>
        <v>2021</v>
      </c>
      <c r="J634" s="14">
        <f t="shared" si="102"/>
        <v>-7</v>
      </c>
      <c r="K634" s="15">
        <f t="shared" si="103"/>
        <v>-7.9168728352300849E-3</v>
      </c>
      <c r="L634" s="16" t="str">
        <f t="shared" si="104"/>
        <v>Valid</v>
      </c>
      <c r="M634" s="16" t="str">
        <f t="shared" si="105"/>
        <v>Valid</v>
      </c>
      <c r="N634" s="17" t="str">
        <f t="shared" si="106"/>
        <v>Stable/Reducing</v>
      </c>
      <c r="O634" s="16">
        <f t="shared" si="107"/>
        <v>2.75</v>
      </c>
      <c r="P634" s="14">
        <f t="shared" si="109"/>
        <v>2012.8571428571429</v>
      </c>
      <c r="Q634" s="16">
        <f t="shared" si="108"/>
        <v>2918.4580782596145</v>
      </c>
    </row>
    <row r="635" spans="1:17" x14ac:dyDescent="0.3">
      <c r="A635" s="13">
        <v>45886</v>
      </c>
      <c r="B635" s="13" t="str">
        <f t="shared" si="99"/>
        <v>August</v>
      </c>
      <c r="C635" s="13" t="str">
        <f t="shared" si="100"/>
        <v>2025-08</v>
      </c>
      <c r="D635" s="8">
        <v>4</v>
      </c>
      <c r="E635" s="8">
        <v>14</v>
      </c>
      <c r="F635" s="8">
        <v>2</v>
      </c>
      <c r="G635" s="8">
        <v>1991</v>
      </c>
      <c r="H635" s="8">
        <v>3</v>
      </c>
      <c r="I635" s="14">
        <f t="shared" si="101"/>
        <v>2005</v>
      </c>
      <c r="J635" s="14">
        <f t="shared" si="102"/>
        <v>-1</v>
      </c>
      <c r="K635" s="15">
        <f t="shared" si="103"/>
        <v>0</v>
      </c>
      <c r="L635" s="16" t="str">
        <f t="shared" si="104"/>
        <v>Valid</v>
      </c>
      <c r="M635" s="16" t="str">
        <f t="shared" si="105"/>
        <v>Valid</v>
      </c>
      <c r="N635" s="17" t="str">
        <f t="shared" si="106"/>
        <v>Stable/Reducing</v>
      </c>
      <c r="O635" s="16">
        <f t="shared" si="107"/>
        <v>1.5</v>
      </c>
      <c r="P635" s="14">
        <f t="shared" si="109"/>
        <v>2011.2857142857142</v>
      </c>
      <c r="Q635" s="16">
        <f t="shared" si="108"/>
        <v>2918.4580782596145</v>
      </c>
    </row>
    <row r="636" spans="1:17" x14ac:dyDescent="0.3">
      <c r="A636" s="13">
        <v>45887</v>
      </c>
      <c r="B636" s="13" t="str">
        <f t="shared" si="99"/>
        <v>August</v>
      </c>
      <c r="C636" s="13" t="str">
        <f t="shared" si="100"/>
        <v>2025-08</v>
      </c>
      <c r="D636" s="8">
        <v>4</v>
      </c>
      <c r="E636" s="8">
        <v>20</v>
      </c>
      <c r="F636" s="8">
        <v>6</v>
      </c>
      <c r="G636" s="8">
        <v>1985</v>
      </c>
      <c r="H636" s="8">
        <v>14</v>
      </c>
      <c r="I636" s="14">
        <f t="shared" si="101"/>
        <v>2005</v>
      </c>
      <c r="J636" s="14">
        <f t="shared" si="102"/>
        <v>-8</v>
      </c>
      <c r="K636" s="15">
        <f t="shared" si="103"/>
        <v>4.9875311720698253E-3</v>
      </c>
      <c r="L636" s="16" t="str">
        <f t="shared" si="104"/>
        <v>Valid</v>
      </c>
      <c r="M636" s="16" t="str">
        <f t="shared" si="105"/>
        <v>Valid</v>
      </c>
      <c r="N636" s="17" t="str">
        <f t="shared" si="106"/>
        <v>Stable/Reducing</v>
      </c>
      <c r="O636" s="16">
        <f t="shared" si="107"/>
        <v>2.3333333333333335</v>
      </c>
      <c r="P636" s="14">
        <f t="shared" si="109"/>
        <v>2012</v>
      </c>
      <c r="Q636" s="16">
        <f t="shared" si="108"/>
        <v>2918.4580782596145</v>
      </c>
    </row>
    <row r="637" spans="1:17" x14ac:dyDescent="0.3">
      <c r="A637" s="13">
        <v>45888</v>
      </c>
      <c r="B637" s="13" t="str">
        <f t="shared" si="99"/>
        <v>August</v>
      </c>
      <c r="C637" s="13" t="str">
        <f t="shared" si="100"/>
        <v>2025-08</v>
      </c>
      <c r="D637" s="8">
        <v>5</v>
      </c>
      <c r="E637" s="8">
        <v>35</v>
      </c>
      <c r="F637" s="8">
        <v>3</v>
      </c>
      <c r="G637" s="8">
        <v>1980</v>
      </c>
      <c r="H637" s="8">
        <v>11</v>
      </c>
      <c r="I637" s="14">
        <f t="shared" si="101"/>
        <v>2015</v>
      </c>
      <c r="J637" s="14">
        <f t="shared" si="102"/>
        <v>-8</v>
      </c>
      <c r="K637" s="15">
        <f t="shared" si="103"/>
        <v>2.9776674937965261E-3</v>
      </c>
      <c r="L637" s="16" t="str">
        <f t="shared" si="104"/>
        <v>Valid</v>
      </c>
      <c r="M637" s="16" t="str">
        <f t="shared" si="105"/>
        <v>Valid</v>
      </c>
      <c r="N637" s="17" t="str">
        <f t="shared" si="106"/>
        <v>Stable/Reducing</v>
      </c>
      <c r="O637" s="16">
        <f t="shared" si="107"/>
        <v>3.6666666666666665</v>
      </c>
      <c r="P637" s="14">
        <f t="shared" si="109"/>
        <v>2012.2857142857142</v>
      </c>
      <c r="Q637" s="16">
        <f t="shared" si="108"/>
        <v>2918.4580782596145</v>
      </c>
    </row>
    <row r="638" spans="1:17" x14ac:dyDescent="0.3">
      <c r="A638" s="13">
        <v>45889</v>
      </c>
      <c r="B638" s="13" t="str">
        <f t="shared" si="99"/>
        <v>August</v>
      </c>
      <c r="C638" s="13" t="str">
        <f t="shared" si="100"/>
        <v>2025-08</v>
      </c>
      <c r="D638" s="8">
        <v>10</v>
      </c>
      <c r="E638" s="8">
        <v>38</v>
      </c>
      <c r="F638" s="8">
        <v>10</v>
      </c>
      <c r="G638" s="8">
        <v>1983</v>
      </c>
      <c r="H638" s="8">
        <v>10</v>
      </c>
      <c r="I638" s="14">
        <f t="shared" si="101"/>
        <v>2021</v>
      </c>
      <c r="J638" s="14">
        <f t="shared" si="102"/>
        <v>0</v>
      </c>
      <c r="K638" s="15">
        <f t="shared" si="103"/>
        <v>0</v>
      </c>
      <c r="L638" s="16" t="str">
        <f t="shared" si="104"/>
        <v>Valid</v>
      </c>
      <c r="M638" s="16" t="str">
        <f t="shared" si="105"/>
        <v>Valid</v>
      </c>
      <c r="N638" s="17" t="str">
        <f t="shared" si="106"/>
        <v>Stable/Reducing</v>
      </c>
      <c r="O638" s="16">
        <f t="shared" si="107"/>
        <v>1</v>
      </c>
      <c r="P638" s="14">
        <f t="shared" si="109"/>
        <v>2012.5714285714287</v>
      </c>
      <c r="Q638" s="16">
        <f t="shared" si="108"/>
        <v>2918.4580782596145</v>
      </c>
    </row>
    <row r="639" spans="1:17" x14ac:dyDescent="0.3">
      <c r="A639" s="13">
        <v>45890</v>
      </c>
      <c r="B639" s="13" t="str">
        <f t="shared" si="99"/>
        <v>August</v>
      </c>
      <c r="C639" s="13" t="str">
        <f t="shared" si="100"/>
        <v>2025-08</v>
      </c>
      <c r="D639" s="8">
        <v>6</v>
      </c>
      <c r="E639" s="8">
        <v>49</v>
      </c>
      <c r="F639" s="8">
        <v>8</v>
      </c>
      <c r="G639" s="8">
        <v>1972</v>
      </c>
      <c r="H639" s="8">
        <v>21</v>
      </c>
      <c r="I639" s="14">
        <f t="shared" si="101"/>
        <v>2021</v>
      </c>
      <c r="J639" s="14">
        <f t="shared" si="102"/>
        <v>-13</v>
      </c>
      <c r="K639" s="15">
        <f t="shared" si="103"/>
        <v>-9.4012864918357249E-3</v>
      </c>
      <c r="L639" s="16" t="str">
        <f t="shared" si="104"/>
        <v>Valid</v>
      </c>
      <c r="M639" s="16" t="str">
        <f t="shared" si="105"/>
        <v>Valid</v>
      </c>
      <c r="N639" s="17" t="str">
        <f t="shared" si="106"/>
        <v>Stable/Reducing</v>
      </c>
      <c r="O639" s="16">
        <f t="shared" si="107"/>
        <v>2.625</v>
      </c>
      <c r="P639" s="14">
        <f t="shared" si="109"/>
        <v>2015.1428571428571</v>
      </c>
      <c r="Q639" s="16">
        <f t="shared" si="108"/>
        <v>2918.4580782596145</v>
      </c>
    </row>
    <row r="640" spans="1:17" x14ac:dyDescent="0.3">
      <c r="A640" s="13">
        <v>45893</v>
      </c>
      <c r="B640" s="13" t="str">
        <f t="shared" si="99"/>
        <v>August</v>
      </c>
      <c r="C640" s="13" t="str">
        <f t="shared" si="100"/>
        <v>2025-08</v>
      </c>
      <c r="D640" s="8">
        <v>4</v>
      </c>
      <c r="E640" s="8">
        <v>21</v>
      </c>
      <c r="F640" s="8">
        <v>5</v>
      </c>
      <c r="G640" s="8">
        <v>1981</v>
      </c>
      <c r="H640" s="8">
        <v>5</v>
      </c>
      <c r="I640" s="14">
        <f t="shared" si="101"/>
        <v>2002</v>
      </c>
      <c r="J640" s="14">
        <f t="shared" si="102"/>
        <v>0</v>
      </c>
      <c r="K640" s="15">
        <f t="shared" si="103"/>
        <v>3.996003996003996E-3</v>
      </c>
      <c r="L640" s="16" t="str">
        <f t="shared" si="104"/>
        <v>Valid</v>
      </c>
      <c r="M640" s="16" t="str">
        <f t="shared" si="105"/>
        <v>Valid</v>
      </c>
      <c r="N640" s="17" t="str">
        <f t="shared" si="106"/>
        <v>Stable/Reducing</v>
      </c>
      <c r="O640" s="16">
        <f t="shared" si="107"/>
        <v>1</v>
      </c>
      <c r="P640" s="14">
        <f t="shared" si="109"/>
        <v>2020</v>
      </c>
      <c r="Q640" s="16">
        <f t="shared" si="108"/>
        <v>2918.4580782596145</v>
      </c>
    </row>
    <row r="641" spans="1:17" x14ac:dyDescent="0.3">
      <c r="A641" s="13">
        <v>45894</v>
      </c>
      <c r="B641" s="13" t="str">
        <f t="shared" si="99"/>
        <v>August</v>
      </c>
      <c r="C641" s="13" t="str">
        <f t="shared" si="100"/>
        <v>2025-08</v>
      </c>
      <c r="D641" s="8">
        <v>8</v>
      </c>
      <c r="E641" s="8">
        <v>30</v>
      </c>
      <c r="F641" s="8">
        <v>8</v>
      </c>
      <c r="G641" s="8">
        <v>1980</v>
      </c>
      <c r="H641" s="8">
        <v>11</v>
      </c>
      <c r="I641" s="14">
        <f t="shared" si="101"/>
        <v>2010</v>
      </c>
      <c r="J641" s="14">
        <f t="shared" si="102"/>
        <v>-3</v>
      </c>
      <c r="K641" s="15">
        <f t="shared" si="103"/>
        <v>0</v>
      </c>
      <c r="L641" s="16" t="str">
        <f t="shared" si="104"/>
        <v>Valid</v>
      </c>
      <c r="M641" s="16" t="str">
        <f t="shared" si="105"/>
        <v>Valid</v>
      </c>
      <c r="N641" s="17" t="str">
        <f t="shared" si="106"/>
        <v>Stable/Reducing</v>
      </c>
      <c r="O641" s="16">
        <f t="shared" si="107"/>
        <v>1.375</v>
      </c>
      <c r="P641" s="14">
        <f t="shared" si="109"/>
        <v>2026.5714285714287</v>
      </c>
      <c r="Q641" s="16">
        <f t="shared" si="108"/>
        <v>2918.4580782596145</v>
      </c>
    </row>
    <row r="642" spans="1:17" x14ac:dyDescent="0.3">
      <c r="A642" s="13">
        <v>45895</v>
      </c>
      <c r="B642" s="13" t="str">
        <f t="shared" ref="B642:B705" si="110">TEXT(A642, "mmmm")</f>
        <v>August</v>
      </c>
      <c r="C642" s="13" t="str">
        <f t="shared" ref="C642:C705" si="111">TEXT(A642, "yyyy-mm")</f>
        <v>2025-08</v>
      </c>
      <c r="D642" s="8">
        <v>10</v>
      </c>
      <c r="E642" s="8">
        <v>21</v>
      </c>
      <c r="F642" s="8">
        <v>20</v>
      </c>
      <c r="G642" s="8">
        <v>1989</v>
      </c>
      <c r="H642" s="8">
        <v>15</v>
      </c>
      <c r="I642" s="14">
        <f t="shared" ref="I642:I705" si="112">SUM(G642+E642)</f>
        <v>2010</v>
      </c>
      <c r="J642" s="14">
        <f t="shared" ref="J642:J705" si="113">F642-H642</f>
        <v>5</v>
      </c>
      <c r="K642" s="15">
        <f t="shared" ref="K642:K705" si="114">(I643-I642)/I642</f>
        <v>-1.4925373134328358E-3</v>
      </c>
      <c r="L642" s="16" t="str">
        <f t="shared" ref="L642:L705" si="115">IF(F642&lt;=E642, "Valid", "Invalid")</f>
        <v>Valid</v>
      </c>
      <c r="M642" s="16" t="str">
        <f t="shared" ref="M642:M705" si="116">IF(H642&lt;=G642, "Valid", "Invalid")</f>
        <v>Valid</v>
      </c>
      <c r="N642" s="17" t="str">
        <f t="shared" ref="N642:N705" si="117">IF(J642&gt;0, "Increasing Pressure", "Stable/Reducing")</f>
        <v>Increasing Pressure</v>
      </c>
      <c r="O642" s="16">
        <f t="shared" ref="O642:O705" si="118">IFERROR(H642/F642, 0)</f>
        <v>0.75</v>
      </c>
      <c r="P642" s="14">
        <f t="shared" si="109"/>
        <v>2033</v>
      </c>
      <c r="Q642" s="16">
        <f t="shared" ref="Q642:Q705" si="119">_xlfn.STDEV.S(I:I)</f>
        <v>2918.4580782596145</v>
      </c>
    </row>
    <row r="643" spans="1:17" x14ac:dyDescent="0.3">
      <c r="A643" s="13">
        <v>45896</v>
      </c>
      <c r="B643" s="13" t="str">
        <f t="shared" si="110"/>
        <v>August</v>
      </c>
      <c r="C643" s="13" t="str">
        <f t="shared" si="111"/>
        <v>2025-08</v>
      </c>
      <c r="D643" s="8">
        <v>5</v>
      </c>
      <c r="E643" s="8">
        <v>19</v>
      </c>
      <c r="F643" s="8">
        <v>9</v>
      </c>
      <c r="G643" s="8">
        <v>1988</v>
      </c>
      <c r="H643" s="8">
        <v>19</v>
      </c>
      <c r="I643" s="14">
        <f t="shared" si="112"/>
        <v>2007</v>
      </c>
      <c r="J643" s="14">
        <f t="shared" si="113"/>
        <v>-10</v>
      </c>
      <c r="K643" s="15">
        <f t="shared" si="114"/>
        <v>4.9825610363726956E-3</v>
      </c>
      <c r="L643" s="16" t="str">
        <f t="shared" si="115"/>
        <v>Valid</v>
      </c>
      <c r="M643" s="16" t="str">
        <f t="shared" si="116"/>
        <v>Valid</v>
      </c>
      <c r="N643" s="17" t="str">
        <f t="shared" si="117"/>
        <v>Stable/Reducing</v>
      </c>
      <c r="O643" s="16">
        <f t="shared" si="118"/>
        <v>2.1111111111111112</v>
      </c>
      <c r="P643" s="14">
        <f t="shared" ref="P643:P706" si="120">AVERAGE(I643:I649)</f>
        <v>2038</v>
      </c>
      <c r="Q643" s="16">
        <f t="shared" si="119"/>
        <v>2918.4580782596145</v>
      </c>
    </row>
    <row r="644" spans="1:17" x14ac:dyDescent="0.3">
      <c r="A644" s="13">
        <v>45897</v>
      </c>
      <c r="B644" s="13" t="str">
        <f t="shared" si="110"/>
        <v>August</v>
      </c>
      <c r="C644" s="13" t="str">
        <f t="shared" si="111"/>
        <v>2025-08</v>
      </c>
      <c r="D644" s="8">
        <v>8</v>
      </c>
      <c r="E644" s="8">
        <v>33</v>
      </c>
      <c r="F644" s="8">
        <v>6</v>
      </c>
      <c r="G644" s="8">
        <v>1984</v>
      </c>
      <c r="H644" s="8">
        <v>17</v>
      </c>
      <c r="I644" s="14">
        <f t="shared" si="112"/>
        <v>2017</v>
      </c>
      <c r="J644" s="14">
        <f t="shared" si="113"/>
        <v>-11</v>
      </c>
      <c r="K644" s="15">
        <f t="shared" si="114"/>
        <v>1.0907288051561725E-2</v>
      </c>
      <c r="L644" s="16" t="str">
        <f t="shared" si="115"/>
        <v>Valid</v>
      </c>
      <c r="M644" s="16" t="str">
        <f t="shared" si="116"/>
        <v>Valid</v>
      </c>
      <c r="N644" s="17" t="str">
        <f t="shared" si="117"/>
        <v>Stable/Reducing</v>
      </c>
      <c r="O644" s="16">
        <f t="shared" si="118"/>
        <v>2.8333333333333335</v>
      </c>
      <c r="P644" s="14">
        <f t="shared" si="120"/>
        <v>2044.1428571428571</v>
      </c>
      <c r="Q644" s="16">
        <f t="shared" si="119"/>
        <v>2918.4580782596145</v>
      </c>
    </row>
    <row r="645" spans="1:17" x14ac:dyDescent="0.3">
      <c r="A645" s="13">
        <v>45901</v>
      </c>
      <c r="B645" s="13" t="str">
        <f t="shared" si="110"/>
        <v>September</v>
      </c>
      <c r="C645" s="13" t="str">
        <f t="shared" si="111"/>
        <v>2025-09</v>
      </c>
      <c r="D645" s="8">
        <v>10</v>
      </c>
      <c r="E645" s="8">
        <v>29</v>
      </c>
      <c r="F645" s="8">
        <v>17</v>
      </c>
      <c r="G645" s="8">
        <v>2010</v>
      </c>
      <c r="H645" s="8">
        <v>5</v>
      </c>
      <c r="I645" s="14">
        <f t="shared" si="112"/>
        <v>2039</v>
      </c>
      <c r="J645" s="14">
        <f t="shared" si="113"/>
        <v>12</v>
      </c>
      <c r="K645" s="15">
        <f t="shared" si="114"/>
        <v>7.8469838155958808E-3</v>
      </c>
      <c r="L645" s="16" t="str">
        <f t="shared" si="115"/>
        <v>Valid</v>
      </c>
      <c r="M645" s="16" t="str">
        <f t="shared" si="116"/>
        <v>Valid</v>
      </c>
      <c r="N645" s="17" t="str">
        <f t="shared" si="117"/>
        <v>Increasing Pressure</v>
      </c>
      <c r="O645" s="16">
        <f t="shared" si="118"/>
        <v>0.29411764705882354</v>
      </c>
      <c r="P645" s="14">
        <f t="shared" si="120"/>
        <v>2051</v>
      </c>
      <c r="Q645" s="16">
        <f t="shared" si="119"/>
        <v>2918.4580782596145</v>
      </c>
    </row>
    <row r="646" spans="1:17" x14ac:dyDescent="0.3">
      <c r="A646" s="13">
        <v>45902</v>
      </c>
      <c r="B646" s="13" t="str">
        <f t="shared" si="110"/>
        <v>September</v>
      </c>
      <c r="C646" s="13" t="str">
        <f t="shared" si="111"/>
        <v>2025-09</v>
      </c>
      <c r="D646" s="8">
        <v>6</v>
      </c>
      <c r="E646" s="8">
        <v>35</v>
      </c>
      <c r="F646" s="8">
        <v>9</v>
      </c>
      <c r="G646" s="8">
        <v>2020</v>
      </c>
      <c r="H646" s="8">
        <v>9</v>
      </c>
      <c r="I646" s="14">
        <f t="shared" si="112"/>
        <v>2055</v>
      </c>
      <c r="J646" s="14">
        <f t="shared" si="113"/>
        <v>0</v>
      </c>
      <c r="K646" s="15">
        <f t="shared" si="114"/>
        <v>-3.4063260340632603E-3</v>
      </c>
      <c r="L646" s="16" t="str">
        <f t="shared" si="115"/>
        <v>Valid</v>
      </c>
      <c r="M646" s="16" t="str">
        <f t="shared" si="116"/>
        <v>Valid</v>
      </c>
      <c r="N646" s="17" t="str">
        <f t="shared" si="117"/>
        <v>Stable/Reducing</v>
      </c>
      <c r="O646" s="16">
        <f t="shared" si="118"/>
        <v>1</v>
      </c>
      <c r="P646" s="14">
        <f t="shared" si="120"/>
        <v>2055.7142857142858</v>
      </c>
      <c r="Q646" s="16">
        <f t="shared" si="119"/>
        <v>2918.4580782596145</v>
      </c>
    </row>
    <row r="647" spans="1:17" x14ac:dyDescent="0.3">
      <c r="A647" s="13">
        <v>45903</v>
      </c>
      <c r="B647" s="13" t="str">
        <f t="shared" si="110"/>
        <v>September</v>
      </c>
      <c r="C647" s="13" t="str">
        <f t="shared" si="111"/>
        <v>2025-09</v>
      </c>
      <c r="D647" s="8">
        <v>4</v>
      </c>
      <c r="E647" s="8">
        <v>29</v>
      </c>
      <c r="F647" s="8">
        <v>11</v>
      </c>
      <c r="G647" s="8">
        <v>2019</v>
      </c>
      <c r="H647" s="8">
        <v>10</v>
      </c>
      <c r="I647" s="14">
        <f t="shared" si="112"/>
        <v>2048</v>
      </c>
      <c r="J647" s="14">
        <f t="shared" si="113"/>
        <v>1</v>
      </c>
      <c r="K647" s="15">
        <f t="shared" si="114"/>
        <v>3.41796875E-3</v>
      </c>
      <c r="L647" s="16" t="str">
        <f t="shared" si="115"/>
        <v>Valid</v>
      </c>
      <c r="M647" s="16" t="str">
        <f t="shared" si="116"/>
        <v>Valid</v>
      </c>
      <c r="N647" s="17" t="str">
        <f t="shared" si="117"/>
        <v>Increasing Pressure</v>
      </c>
      <c r="O647" s="16">
        <f t="shared" si="118"/>
        <v>0.90909090909090906</v>
      </c>
      <c r="P647" s="14">
        <f t="shared" si="120"/>
        <v>2060</v>
      </c>
      <c r="Q647" s="16">
        <f t="shared" si="119"/>
        <v>2918.4580782596145</v>
      </c>
    </row>
    <row r="648" spans="1:17" x14ac:dyDescent="0.3">
      <c r="A648" s="13">
        <v>45904</v>
      </c>
      <c r="B648" s="13" t="str">
        <f t="shared" si="110"/>
        <v>September</v>
      </c>
      <c r="C648" s="13" t="str">
        <f t="shared" si="111"/>
        <v>2025-09</v>
      </c>
      <c r="D648" s="8">
        <v>11</v>
      </c>
      <c r="E648" s="8">
        <v>40</v>
      </c>
      <c r="F648" s="8">
        <v>2</v>
      </c>
      <c r="G648" s="8">
        <v>2015</v>
      </c>
      <c r="H648" s="8">
        <v>14</v>
      </c>
      <c r="I648" s="14">
        <f t="shared" si="112"/>
        <v>2055</v>
      </c>
      <c r="J648" s="14">
        <f t="shared" si="113"/>
        <v>-12</v>
      </c>
      <c r="K648" s="15">
        <f t="shared" si="114"/>
        <v>-4.8661800486618006E-3</v>
      </c>
      <c r="L648" s="16" t="str">
        <f t="shared" si="115"/>
        <v>Valid</v>
      </c>
      <c r="M648" s="16" t="str">
        <f t="shared" si="116"/>
        <v>Valid</v>
      </c>
      <c r="N648" s="17" t="str">
        <f t="shared" si="117"/>
        <v>Stable/Reducing</v>
      </c>
      <c r="O648" s="16">
        <f t="shared" si="118"/>
        <v>7</v>
      </c>
      <c r="P648" s="14">
        <f t="shared" si="120"/>
        <v>2070.5714285714284</v>
      </c>
      <c r="Q648" s="16">
        <f t="shared" si="119"/>
        <v>2918.4580782596145</v>
      </c>
    </row>
    <row r="649" spans="1:17" x14ac:dyDescent="0.3">
      <c r="A649" s="13">
        <v>45907</v>
      </c>
      <c r="B649" s="13" t="str">
        <f t="shared" si="110"/>
        <v>September</v>
      </c>
      <c r="C649" s="13" t="str">
        <f t="shared" si="111"/>
        <v>2025-09</v>
      </c>
      <c r="D649" s="8">
        <v>4</v>
      </c>
      <c r="E649" s="8">
        <v>19</v>
      </c>
      <c r="F649" s="8">
        <v>9</v>
      </c>
      <c r="G649" s="8">
        <v>2026</v>
      </c>
      <c r="H649" s="8">
        <v>7</v>
      </c>
      <c r="I649" s="14">
        <f t="shared" si="112"/>
        <v>2045</v>
      </c>
      <c r="J649" s="14">
        <f t="shared" si="113"/>
        <v>2</v>
      </c>
      <c r="K649" s="15">
        <f t="shared" si="114"/>
        <v>2.4449877750611247E-3</v>
      </c>
      <c r="L649" s="16" t="str">
        <f t="shared" si="115"/>
        <v>Valid</v>
      </c>
      <c r="M649" s="16" t="str">
        <f t="shared" si="116"/>
        <v>Valid</v>
      </c>
      <c r="N649" s="17" t="str">
        <f t="shared" si="117"/>
        <v>Increasing Pressure</v>
      </c>
      <c r="O649" s="16">
        <f t="shared" si="118"/>
        <v>0.77777777777777779</v>
      </c>
      <c r="P649" s="14">
        <f t="shared" si="120"/>
        <v>2081.7142857142858</v>
      </c>
      <c r="Q649" s="16">
        <f t="shared" si="119"/>
        <v>2918.4580782596145</v>
      </c>
    </row>
    <row r="650" spans="1:17" x14ac:dyDescent="0.3">
      <c r="A650" s="13">
        <v>45908</v>
      </c>
      <c r="B650" s="13" t="str">
        <f t="shared" si="110"/>
        <v>September</v>
      </c>
      <c r="C650" s="13" t="str">
        <f t="shared" si="111"/>
        <v>2025-09</v>
      </c>
      <c r="D650" s="8">
        <v>7</v>
      </c>
      <c r="E650" s="8">
        <v>25</v>
      </c>
      <c r="F650" s="8">
        <v>5</v>
      </c>
      <c r="G650" s="8">
        <v>2025</v>
      </c>
      <c r="H650" s="8">
        <v>6</v>
      </c>
      <c r="I650" s="14">
        <f t="shared" si="112"/>
        <v>2050</v>
      </c>
      <c r="J650" s="14">
        <f t="shared" si="113"/>
        <v>-1</v>
      </c>
      <c r="K650" s="15">
        <f t="shared" si="114"/>
        <v>7.3170731707317077E-3</v>
      </c>
      <c r="L650" s="16" t="str">
        <f t="shared" si="115"/>
        <v>Valid</v>
      </c>
      <c r="M650" s="16" t="str">
        <f t="shared" si="116"/>
        <v>Valid</v>
      </c>
      <c r="N650" s="17" t="str">
        <f t="shared" si="117"/>
        <v>Stable/Reducing</v>
      </c>
      <c r="O650" s="16">
        <f t="shared" si="118"/>
        <v>1.2</v>
      </c>
      <c r="P650" s="14">
        <f t="shared" si="120"/>
        <v>2092.8571428571427</v>
      </c>
      <c r="Q650" s="16">
        <f t="shared" si="119"/>
        <v>2918.4580782596145</v>
      </c>
    </row>
    <row r="651" spans="1:17" x14ac:dyDescent="0.3">
      <c r="A651" s="13">
        <v>45909</v>
      </c>
      <c r="B651" s="13" t="str">
        <f t="shared" si="110"/>
        <v>September</v>
      </c>
      <c r="C651" s="13" t="str">
        <f t="shared" si="111"/>
        <v>2025-09</v>
      </c>
      <c r="D651" s="8">
        <v>18</v>
      </c>
      <c r="E651" s="8">
        <v>42</v>
      </c>
      <c r="F651" s="8">
        <v>11</v>
      </c>
      <c r="G651" s="8">
        <v>2023</v>
      </c>
      <c r="H651" s="8">
        <v>14</v>
      </c>
      <c r="I651" s="14">
        <f t="shared" si="112"/>
        <v>2065</v>
      </c>
      <c r="J651" s="14">
        <f t="shared" si="113"/>
        <v>-3</v>
      </c>
      <c r="K651" s="15">
        <f t="shared" si="114"/>
        <v>3.3898305084745762E-3</v>
      </c>
      <c r="L651" s="16" t="str">
        <f t="shared" si="115"/>
        <v>Valid</v>
      </c>
      <c r="M651" s="16" t="str">
        <f t="shared" si="116"/>
        <v>Valid</v>
      </c>
      <c r="N651" s="17" t="str">
        <f t="shared" si="117"/>
        <v>Stable/Reducing</v>
      </c>
      <c r="O651" s="16">
        <f t="shared" si="118"/>
        <v>1.2727272727272727</v>
      </c>
      <c r="P651" s="14">
        <f t="shared" si="120"/>
        <v>2104.8571428571427</v>
      </c>
      <c r="Q651" s="16">
        <f t="shared" si="119"/>
        <v>2918.4580782596145</v>
      </c>
    </row>
    <row r="652" spans="1:17" x14ac:dyDescent="0.3">
      <c r="A652" s="13">
        <v>45910</v>
      </c>
      <c r="B652" s="13" t="str">
        <f t="shared" si="110"/>
        <v>September</v>
      </c>
      <c r="C652" s="13" t="str">
        <f t="shared" si="111"/>
        <v>2025-09</v>
      </c>
      <c r="D652" s="8">
        <v>10</v>
      </c>
      <c r="E652" s="8">
        <v>47</v>
      </c>
      <c r="F652" s="8">
        <v>14</v>
      </c>
      <c r="G652" s="8">
        <v>2025</v>
      </c>
      <c r="H652" s="8">
        <v>18</v>
      </c>
      <c r="I652" s="14">
        <f t="shared" si="112"/>
        <v>2072</v>
      </c>
      <c r="J652" s="14">
        <f t="shared" si="113"/>
        <v>-4</v>
      </c>
      <c r="K652" s="15">
        <f t="shared" si="114"/>
        <v>6.2741312741312737E-3</v>
      </c>
      <c r="L652" s="16" t="str">
        <f t="shared" si="115"/>
        <v>Valid</v>
      </c>
      <c r="M652" s="16" t="str">
        <f t="shared" si="116"/>
        <v>Valid</v>
      </c>
      <c r="N652" s="17" t="str">
        <f t="shared" si="117"/>
        <v>Stable/Reducing</v>
      </c>
      <c r="O652" s="16">
        <f t="shared" si="118"/>
        <v>1.2857142857142858</v>
      </c>
      <c r="P652" s="14">
        <f t="shared" si="120"/>
        <v>2116.7142857142858</v>
      </c>
      <c r="Q652" s="16">
        <f t="shared" si="119"/>
        <v>2918.4580782596145</v>
      </c>
    </row>
    <row r="653" spans="1:17" x14ac:dyDescent="0.3">
      <c r="A653" s="13">
        <v>45911</v>
      </c>
      <c r="B653" s="13" t="str">
        <f t="shared" si="110"/>
        <v>September</v>
      </c>
      <c r="C653" s="13" t="str">
        <f t="shared" si="111"/>
        <v>2025-09</v>
      </c>
      <c r="D653" s="8">
        <v>12</v>
      </c>
      <c r="E653" s="8">
        <v>38</v>
      </c>
      <c r="F653" s="8">
        <v>29</v>
      </c>
      <c r="G653" s="8">
        <v>2047</v>
      </c>
      <c r="H653" s="8">
        <v>6</v>
      </c>
      <c r="I653" s="14">
        <f t="shared" si="112"/>
        <v>2085</v>
      </c>
      <c r="J653" s="14">
        <f t="shared" si="113"/>
        <v>23</v>
      </c>
      <c r="K653" s="15">
        <f t="shared" si="114"/>
        <v>1.7745803357314148E-2</v>
      </c>
      <c r="L653" s="16" t="str">
        <f t="shared" si="115"/>
        <v>Valid</v>
      </c>
      <c r="M653" s="16" t="str">
        <f t="shared" si="116"/>
        <v>Valid</v>
      </c>
      <c r="N653" s="17" t="str">
        <f t="shared" si="117"/>
        <v>Increasing Pressure</v>
      </c>
      <c r="O653" s="16">
        <f t="shared" si="118"/>
        <v>0.20689655172413793</v>
      </c>
      <c r="P653" s="14">
        <f t="shared" si="120"/>
        <v>2130.5714285714284</v>
      </c>
      <c r="Q653" s="16">
        <f t="shared" si="119"/>
        <v>2918.4580782596145</v>
      </c>
    </row>
    <row r="654" spans="1:17" x14ac:dyDescent="0.3">
      <c r="A654" s="13">
        <v>45914</v>
      </c>
      <c r="B654" s="13" t="str">
        <f t="shared" si="110"/>
        <v>September</v>
      </c>
      <c r="C654" s="13" t="str">
        <f t="shared" si="111"/>
        <v>2025-09</v>
      </c>
      <c r="D654" s="8">
        <v>7</v>
      </c>
      <c r="E654" s="8">
        <v>39</v>
      </c>
      <c r="F654" s="8">
        <v>13</v>
      </c>
      <c r="G654" s="8">
        <v>2083</v>
      </c>
      <c r="H654" s="8">
        <v>5</v>
      </c>
      <c r="I654" s="14">
        <f t="shared" si="112"/>
        <v>2122</v>
      </c>
      <c r="J654" s="14">
        <f t="shared" si="113"/>
        <v>8</v>
      </c>
      <c r="K654" s="15">
        <f t="shared" si="114"/>
        <v>5.1837888784165885E-3</v>
      </c>
      <c r="L654" s="16" t="str">
        <f t="shared" si="115"/>
        <v>Valid</v>
      </c>
      <c r="M654" s="16" t="str">
        <f t="shared" si="116"/>
        <v>Valid</v>
      </c>
      <c r="N654" s="17" t="str">
        <f t="shared" si="117"/>
        <v>Increasing Pressure</v>
      </c>
      <c r="O654" s="16">
        <f t="shared" si="118"/>
        <v>0.38461538461538464</v>
      </c>
      <c r="P654" s="14">
        <f t="shared" si="120"/>
        <v>2144.2857142857142</v>
      </c>
      <c r="Q654" s="16">
        <f t="shared" si="119"/>
        <v>2918.4580782596145</v>
      </c>
    </row>
    <row r="655" spans="1:17" x14ac:dyDescent="0.3">
      <c r="A655" s="13">
        <v>45915</v>
      </c>
      <c r="B655" s="13" t="str">
        <f t="shared" si="110"/>
        <v>September</v>
      </c>
      <c r="C655" s="13" t="str">
        <f t="shared" si="111"/>
        <v>2025-09</v>
      </c>
      <c r="D655" s="8">
        <v>9</v>
      </c>
      <c r="E655" s="8">
        <v>47</v>
      </c>
      <c r="F655" s="8">
        <v>10</v>
      </c>
      <c r="G655" s="8">
        <v>2086</v>
      </c>
      <c r="H655" s="8">
        <v>10</v>
      </c>
      <c r="I655" s="14">
        <f t="shared" si="112"/>
        <v>2133</v>
      </c>
      <c r="J655" s="14">
        <f t="shared" si="113"/>
        <v>0</v>
      </c>
      <c r="K655" s="15">
        <f t="shared" si="114"/>
        <v>-4.6882325363338025E-3</v>
      </c>
      <c r="L655" s="16" t="str">
        <f t="shared" si="115"/>
        <v>Valid</v>
      </c>
      <c r="M655" s="16" t="str">
        <f t="shared" si="116"/>
        <v>Valid</v>
      </c>
      <c r="N655" s="17" t="str">
        <f t="shared" si="117"/>
        <v>Stable/Reducing</v>
      </c>
      <c r="O655" s="16">
        <f t="shared" si="118"/>
        <v>1</v>
      </c>
      <c r="P655" s="14">
        <f t="shared" si="120"/>
        <v>2152.7142857142858</v>
      </c>
      <c r="Q655" s="16">
        <f t="shared" si="119"/>
        <v>2918.4580782596145</v>
      </c>
    </row>
    <row r="656" spans="1:17" x14ac:dyDescent="0.3">
      <c r="A656" s="13">
        <v>45916</v>
      </c>
      <c r="B656" s="13" t="str">
        <f t="shared" si="110"/>
        <v>September</v>
      </c>
      <c r="C656" s="13" t="str">
        <f t="shared" si="111"/>
        <v>2025-09</v>
      </c>
      <c r="D656" s="8">
        <v>7</v>
      </c>
      <c r="E656" s="8">
        <v>28</v>
      </c>
      <c r="F656" s="8">
        <v>17</v>
      </c>
      <c r="G656" s="8">
        <v>2095</v>
      </c>
      <c r="H656" s="8">
        <v>12</v>
      </c>
      <c r="I656" s="14">
        <f t="shared" si="112"/>
        <v>2123</v>
      </c>
      <c r="J656" s="14">
        <f t="shared" si="113"/>
        <v>5</v>
      </c>
      <c r="K656" s="15">
        <f t="shared" si="114"/>
        <v>5.1813471502590676E-3</v>
      </c>
      <c r="L656" s="16" t="str">
        <f t="shared" si="115"/>
        <v>Valid</v>
      </c>
      <c r="M656" s="16" t="str">
        <f t="shared" si="116"/>
        <v>Valid</v>
      </c>
      <c r="N656" s="17" t="str">
        <f t="shared" si="117"/>
        <v>Increasing Pressure</v>
      </c>
      <c r="O656" s="16">
        <f t="shared" si="118"/>
        <v>0.70588235294117652</v>
      </c>
      <c r="P656" s="14">
        <f t="shared" si="120"/>
        <v>2158.8571428571427</v>
      </c>
      <c r="Q656" s="16">
        <f t="shared" si="119"/>
        <v>2918.4580782596145</v>
      </c>
    </row>
    <row r="657" spans="1:17" x14ac:dyDescent="0.3">
      <c r="A657" s="13">
        <v>45917</v>
      </c>
      <c r="B657" s="13" t="str">
        <f t="shared" si="110"/>
        <v>September</v>
      </c>
      <c r="C657" s="13" t="str">
        <f t="shared" si="111"/>
        <v>2025-09</v>
      </c>
      <c r="D657" s="8">
        <v>7</v>
      </c>
      <c r="E657" s="8">
        <v>38</v>
      </c>
      <c r="F657" s="8">
        <v>5</v>
      </c>
      <c r="G657" s="8">
        <v>2096</v>
      </c>
      <c r="H657" s="8">
        <v>13</v>
      </c>
      <c r="I657" s="14">
        <f t="shared" si="112"/>
        <v>2134</v>
      </c>
      <c r="J657" s="14">
        <f t="shared" si="113"/>
        <v>-8</v>
      </c>
      <c r="K657" s="15">
        <f t="shared" si="114"/>
        <v>6.5604498594189313E-3</v>
      </c>
      <c r="L657" s="16" t="str">
        <f t="shared" si="115"/>
        <v>Valid</v>
      </c>
      <c r="M657" s="16" t="str">
        <f t="shared" si="116"/>
        <v>Valid</v>
      </c>
      <c r="N657" s="17" t="str">
        <f t="shared" si="117"/>
        <v>Stable/Reducing</v>
      </c>
      <c r="O657" s="16">
        <f t="shared" si="118"/>
        <v>2.6</v>
      </c>
      <c r="P657" s="14">
        <f t="shared" si="120"/>
        <v>2165.1428571428573</v>
      </c>
      <c r="Q657" s="16">
        <f t="shared" si="119"/>
        <v>2918.4580782596145</v>
      </c>
    </row>
    <row r="658" spans="1:17" x14ac:dyDescent="0.3">
      <c r="A658" s="13">
        <v>45918</v>
      </c>
      <c r="B658" s="13" t="str">
        <f t="shared" si="110"/>
        <v>September</v>
      </c>
      <c r="C658" s="13" t="str">
        <f t="shared" si="111"/>
        <v>2025-09</v>
      </c>
      <c r="D658" s="8">
        <v>20</v>
      </c>
      <c r="E658" s="8">
        <v>52</v>
      </c>
      <c r="F658" s="8">
        <v>11</v>
      </c>
      <c r="G658" s="8">
        <v>2096</v>
      </c>
      <c r="H658" s="8">
        <v>14</v>
      </c>
      <c r="I658" s="14">
        <f t="shared" si="112"/>
        <v>2148</v>
      </c>
      <c r="J658" s="14">
        <f t="shared" si="113"/>
        <v>-3</v>
      </c>
      <c r="K658" s="15">
        <f t="shared" si="114"/>
        <v>9.7765363128491621E-3</v>
      </c>
      <c r="L658" s="16" t="str">
        <f t="shared" si="115"/>
        <v>Valid</v>
      </c>
      <c r="M658" s="16" t="str">
        <f t="shared" si="116"/>
        <v>Valid</v>
      </c>
      <c r="N658" s="17" t="str">
        <f t="shared" si="117"/>
        <v>Stable/Reducing</v>
      </c>
      <c r="O658" s="16">
        <f t="shared" si="118"/>
        <v>1.2727272727272727</v>
      </c>
      <c r="P658" s="14">
        <f t="shared" si="120"/>
        <v>2171</v>
      </c>
      <c r="Q658" s="16">
        <f t="shared" si="119"/>
        <v>2918.4580782596145</v>
      </c>
    </row>
    <row r="659" spans="1:17" x14ac:dyDescent="0.3">
      <c r="A659" s="13">
        <v>45921</v>
      </c>
      <c r="B659" s="13" t="str">
        <f t="shared" si="110"/>
        <v>September</v>
      </c>
      <c r="C659" s="13" t="str">
        <f t="shared" si="111"/>
        <v>2025-09</v>
      </c>
      <c r="D659" s="8">
        <v>8</v>
      </c>
      <c r="E659" s="8">
        <v>35</v>
      </c>
      <c r="F659" s="8">
        <v>13</v>
      </c>
      <c r="G659" s="8">
        <v>2134</v>
      </c>
      <c r="H659" s="8">
        <v>5</v>
      </c>
      <c r="I659" s="14">
        <f t="shared" si="112"/>
        <v>2169</v>
      </c>
      <c r="J659" s="14">
        <f t="shared" si="113"/>
        <v>8</v>
      </c>
      <c r="K659" s="15">
        <f t="shared" si="114"/>
        <v>5.5325034578146614E-3</v>
      </c>
      <c r="L659" s="16" t="str">
        <f t="shared" si="115"/>
        <v>Valid</v>
      </c>
      <c r="M659" s="16" t="str">
        <f t="shared" si="116"/>
        <v>Valid</v>
      </c>
      <c r="N659" s="17" t="str">
        <f t="shared" si="117"/>
        <v>Increasing Pressure</v>
      </c>
      <c r="O659" s="16">
        <f t="shared" si="118"/>
        <v>0.38461538461538464</v>
      </c>
      <c r="P659" s="14">
        <f t="shared" si="120"/>
        <v>2176</v>
      </c>
      <c r="Q659" s="16">
        <f t="shared" si="119"/>
        <v>2918.4580782596145</v>
      </c>
    </row>
    <row r="660" spans="1:17" x14ac:dyDescent="0.3">
      <c r="A660" s="13">
        <v>45922</v>
      </c>
      <c r="B660" s="13" t="str">
        <f t="shared" si="110"/>
        <v>September</v>
      </c>
      <c r="C660" s="13" t="str">
        <f t="shared" si="111"/>
        <v>2025-09</v>
      </c>
      <c r="D660" s="8">
        <v>17</v>
      </c>
      <c r="E660" s="8">
        <v>40</v>
      </c>
      <c r="F660" s="8">
        <v>14</v>
      </c>
      <c r="G660" s="8">
        <v>2141</v>
      </c>
      <c r="H660" s="8">
        <v>10</v>
      </c>
      <c r="I660" s="14">
        <f t="shared" si="112"/>
        <v>2181</v>
      </c>
      <c r="J660" s="14">
        <f t="shared" si="113"/>
        <v>4</v>
      </c>
      <c r="K660" s="15">
        <f t="shared" si="114"/>
        <v>0</v>
      </c>
      <c r="L660" s="16" t="str">
        <f t="shared" si="115"/>
        <v>Valid</v>
      </c>
      <c r="M660" s="16" t="str">
        <f t="shared" si="116"/>
        <v>Valid</v>
      </c>
      <c r="N660" s="17" t="str">
        <f t="shared" si="117"/>
        <v>Increasing Pressure</v>
      </c>
      <c r="O660" s="16">
        <f t="shared" si="118"/>
        <v>0.7142857142857143</v>
      </c>
      <c r="P660" s="14">
        <f t="shared" si="120"/>
        <v>2179.1428571428573</v>
      </c>
      <c r="Q660" s="16">
        <f t="shared" si="119"/>
        <v>2918.4580782596145</v>
      </c>
    </row>
    <row r="661" spans="1:17" x14ac:dyDescent="0.3">
      <c r="A661" s="13">
        <v>45923</v>
      </c>
      <c r="B661" s="13" t="str">
        <f t="shared" si="110"/>
        <v>September</v>
      </c>
      <c r="C661" s="13" t="str">
        <f t="shared" si="111"/>
        <v>2025-09</v>
      </c>
      <c r="D661" s="8">
        <v>11</v>
      </c>
      <c r="E661" s="8">
        <v>36</v>
      </c>
      <c r="F661" s="8">
        <v>10</v>
      </c>
      <c r="G661" s="8">
        <v>2145</v>
      </c>
      <c r="H661" s="8">
        <v>15</v>
      </c>
      <c r="I661" s="14">
        <f t="shared" si="112"/>
        <v>2181</v>
      </c>
      <c r="J661" s="14">
        <f t="shared" si="113"/>
        <v>-5</v>
      </c>
      <c r="K661" s="15">
        <f t="shared" si="114"/>
        <v>-2.2925263640531865E-3</v>
      </c>
      <c r="L661" s="16" t="str">
        <f t="shared" si="115"/>
        <v>Valid</v>
      </c>
      <c r="M661" s="16" t="str">
        <f t="shared" si="116"/>
        <v>Valid</v>
      </c>
      <c r="N661" s="17" t="str">
        <f t="shared" si="117"/>
        <v>Stable/Reducing</v>
      </c>
      <c r="O661" s="16">
        <f t="shared" si="118"/>
        <v>1.5</v>
      </c>
      <c r="P661" s="14">
        <f t="shared" si="120"/>
        <v>2181.2857142857142</v>
      </c>
      <c r="Q661" s="16">
        <f t="shared" si="119"/>
        <v>2918.4580782596145</v>
      </c>
    </row>
    <row r="662" spans="1:17" x14ac:dyDescent="0.3">
      <c r="A662" s="13">
        <v>45924</v>
      </c>
      <c r="B662" s="13" t="str">
        <f t="shared" si="110"/>
        <v>September</v>
      </c>
      <c r="C662" s="13" t="str">
        <f t="shared" si="111"/>
        <v>2025-09</v>
      </c>
      <c r="D662" s="8">
        <v>3</v>
      </c>
      <c r="E662" s="8">
        <v>38</v>
      </c>
      <c r="F662" s="8">
        <v>12</v>
      </c>
      <c r="G662" s="8">
        <v>2138</v>
      </c>
      <c r="H662" s="8">
        <v>17</v>
      </c>
      <c r="I662" s="14">
        <f t="shared" si="112"/>
        <v>2176</v>
      </c>
      <c r="J662" s="14">
        <f t="shared" si="113"/>
        <v>-5</v>
      </c>
      <c r="K662" s="15">
        <f t="shared" si="114"/>
        <v>-4.1360294117647059E-3</v>
      </c>
      <c r="L662" s="16" t="str">
        <f t="shared" si="115"/>
        <v>Valid</v>
      </c>
      <c r="M662" s="16" t="str">
        <f t="shared" si="116"/>
        <v>Valid</v>
      </c>
      <c r="N662" s="17" t="str">
        <f t="shared" si="117"/>
        <v>Stable/Reducing</v>
      </c>
      <c r="O662" s="16">
        <f t="shared" si="118"/>
        <v>1.4166666666666667</v>
      </c>
      <c r="P662" s="14">
        <f t="shared" si="120"/>
        <v>2186.1428571428573</v>
      </c>
      <c r="Q662" s="16">
        <f t="shared" si="119"/>
        <v>2918.4580782596145</v>
      </c>
    </row>
    <row r="663" spans="1:17" x14ac:dyDescent="0.3">
      <c r="A663" s="13">
        <v>45925</v>
      </c>
      <c r="B663" s="13" t="str">
        <f t="shared" si="110"/>
        <v>September</v>
      </c>
      <c r="C663" s="13" t="str">
        <f t="shared" si="111"/>
        <v>2025-09</v>
      </c>
      <c r="D663" s="8">
        <v>6</v>
      </c>
      <c r="E663" s="8">
        <v>35</v>
      </c>
      <c r="F663" s="8">
        <v>12</v>
      </c>
      <c r="G663" s="8">
        <v>2132</v>
      </c>
      <c r="H663" s="8">
        <v>18</v>
      </c>
      <c r="I663" s="14">
        <f t="shared" si="112"/>
        <v>2167</v>
      </c>
      <c r="J663" s="14">
        <f t="shared" si="113"/>
        <v>-6</v>
      </c>
      <c r="K663" s="15">
        <f t="shared" si="114"/>
        <v>3.6917397323488694E-3</v>
      </c>
      <c r="L663" s="16" t="str">
        <f t="shared" si="115"/>
        <v>Valid</v>
      </c>
      <c r="M663" s="16" t="str">
        <f t="shared" si="116"/>
        <v>Valid</v>
      </c>
      <c r="N663" s="17" t="str">
        <f t="shared" si="117"/>
        <v>Stable/Reducing</v>
      </c>
      <c r="O663" s="16">
        <f t="shared" si="118"/>
        <v>1.5</v>
      </c>
      <c r="P663" s="14">
        <f t="shared" si="120"/>
        <v>2190.7142857142858</v>
      </c>
      <c r="Q663" s="16">
        <f t="shared" si="119"/>
        <v>2918.4580782596145</v>
      </c>
    </row>
    <row r="664" spans="1:17" x14ac:dyDescent="0.3">
      <c r="A664" s="13">
        <v>45928</v>
      </c>
      <c r="B664" s="13" t="str">
        <f t="shared" si="110"/>
        <v>September</v>
      </c>
      <c r="C664" s="13" t="str">
        <f t="shared" si="111"/>
        <v>2025-09</v>
      </c>
      <c r="D664" s="8">
        <v>11</v>
      </c>
      <c r="E664" s="8">
        <v>29</v>
      </c>
      <c r="F664" s="8">
        <v>12</v>
      </c>
      <c r="G664" s="8">
        <v>2146</v>
      </c>
      <c r="H664" s="8">
        <v>9</v>
      </c>
      <c r="I664" s="14">
        <f t="shared" si="112"/>
        <v>2175</v>
      </c>
      <c r="J664" s="14">
        <f t="shared" si="113"/>
        <v>3</v>
      </c>
      <c r="K664" s="15">
        <f t="shared" si="114"/>
        <v>3.6781609195402297E-3</v>
      </c>
      <c r="L664" s="16" t="str">
        <f t="shared" si="115"/>
        <v>Valid</v>
      </c>
      <c r="M664" s="16" t="str">
        <f t="shared" si="116"/>
        <v>Valid</v>
      </c>
      <c r="N664" s="17" t="str">
        <f t="shared" si="117"/>
        <v>Increasing Pressure</v>
      </c>
      <c r="O664" s="16">
        <f t="shared" si="118"/>
        <v>0.75</v>
      </c>
      <c r="P664" s="14">
        <f t="shared" si="120"/>
        <v>2198.2857142857142</v>
      </c>
      <c r="Q664" s="16">
        <f t="shared" si="119"/>
        <v>2918.4580782596145</v>
      </c>
    </row>
    <row r="665" spans="1:17" x14ac:dyDescent="0.3">
      <c r="A665" s="13">
        <v>45929</v>
      </c>
      <c r="B665" s="13" t="str">
        <f t="shared" si="110"/>
        <v>September</v>
      </c>
      <c r="C665" s="13" t="str">
        <f t="shared" si="111"/>
        <v>2025-09</v>
      </c>
      <c r="D665" s="8">
        <v>8</v>
      </c>
      <c r="E665" s="8">
        <v>35</v>
      </c>
      <c r="F665" s="8">
        <v>12</v>
      </c>
      <c r="G665" s="8">
        <v>2148</v>
      </c>
      <c r="H665" s="8">
        <v>13</v>
      </c>
      <c r="I665" s="14">
        <f t="shared" si="112"/>
        <v>2183</v>
      </c>
      <c r="J665" s="14">
        <f t="shared" si="113"/>
        <v>-1</v>
      </c>
      <c r="K665" s="15">
        <f t="shared" si="114"/>
        <v>3.6646816307833257E-3</v>
      </c>
      <c r="L665" s="16" t="str">
        <f t="shared" si="115"/>
        <v>Valid</v>
      </c>
      <c r="M665" s="16" t="str">
        <f t="shared" si="116"/>
        <v>Valid</v>
      </c>
      <c r="N665" s="17" t="str">
        <f t="shared" si="117"/>
        <v>Stable/Reducing</v>
      </c>
      <c r="O665" s="16">
        <f t="shared" si="118"/>
        <v>1.0833333333333333</v>
      </c>
      <c r="P665" s="14">
        <f t="shared" si="120"/>
        <v>2206.7142857142858</v>
      </c>
      <c r="Q665" s="16">
        <f t="shared" si="119"/>
        <v>2918.4580782596145</v>
      </c>
    </row>
    <row r="666" spans="1:17" x14ac:dyDescent="0.3">
      <c r="A666" s="13">
        <v>45930</v>
      </c>
      <c r="B666" s="13" t="str">
        <f t="shared" si="110"/>
        <v>September</v>
      </c>
      <c r="C666" s="13" t="str">
        <f t="shared" si="111"/>
        <v>2025-09</v>
      </c>
      <c r="D666" s="8">
        <v>8</v>
      </c>
      <c r="E666" s="8">
        <v>32</v>
      </c>
      <c r="F666" s="8">
        <v>12</v>
      </c>
      <c r="G666" s="8">
        <v>2159</v>
      </c>
      <c r="H666" s="8">
        <v>7</v>
      </c>
      <c r="I666" s="14">
        <f t="shared" si="112"/>
        <v>2191</v>
      </c>
      <c r="J666" s="14">
        <f t="shared" si="113"/>
        <v>5</v>
      </c>
      <c r="K666" s="15">
        <f t="shared" si="114"/>
        <v>2.2820629849383844E-3</v>
      </c>
      <c r="L666" s="16" t="str">
        <f t="shared" si="115"/>
        <v>Valid</v>
      </c>
      <c r="M666" s="16" t="str">
        <f t="shared" si="116"/>
        <v>Valid</v>
      </c>
      <c r="N666" s="17" t="str">
        <f t="shared" si="117"/>
        <v>Increasing Pressure</v>
      </c>
      <c r="O666" s="16">
        <f t="shared" si="118"/>
        <v>0.58333333333333337</v>
      </c>
      <c r="P666" s="14">
        <f t="shared" si="120"/>
        <v>2215</v>
      </c>
      <c r="Q666" s="16">
        <f t="shared" si="119"/>
        <v>2918.4580782596145</v>
      </c>
    </row>
    <row r="667" spans="1:17" x14ac:dyDescent="0.3">
      <c r="A667" s="13">
        <v>45931</v>
      </c>
      <c r="B667" s="13" t="str">
        <f t="shared" si="110"/>
        <v>October</v>
      </c>
      <c r="C667" s="13" t="str">
        <f t="shared" si="111"/>
        <v>2025-10</v>
      </c>
      <c r="D667" s="8">
        <v>4</v>
      </c>
      <c r="E667" s="8">
        <v>33</v>
      </c>
      <c r="F667" s="8">
        <v>12</v>
      </c>
      <c r="G667" s="8">
        <v>2163</v>
      </c>
      <c r="H667" s="8">
        <v>14</v>
      </c>
      <c r="I667" s="14">
        <f t="shared" si="112"/>
        <v>2196</v>
      </c>
      <c r="J667" s="14">
        <f t="shared" si="113"/>
        <v>-2</v>
      </c>
      <c r="K667" s="15">
        <f t="shared" si="114"/>
        <v>8.6520947176684879E-3</v>
      </c>
      <c r="L667" s="16" t="str">
        <f t="shared" si="115"/>
        <v>Valid</v>
      </c>
      <c r="M667" s="16" t="str">
        <f t="shared" si="116"/>
        <v>Valid</v>
      </c>
      <c r="N667" s="17" t="str">
        <f t="shared" si="117"/>
        <v>Stable/Reducing</v>
      </c>
      <c r="O667" s="16">
        <f t="shared" si="118"/>
        <v>1.1666666666666667</v>
      </c>
      <c r="P667" s="14">
        <f t="shared" si="120"/>
        <v>2223</v>
      </c>
      <c r="Q667" s="16">
        <f t="shared" si="119"/>
        <v>2918.4580782596145</v>
      </c>
    </row>
    <row r="668" spans="1:17" x14ac:dyDescent="0.3">
      <c r="A668" s="13">
        <v>45932</v>
      </c>
      <c r="B668" s="13" t="str">
        <f t="shared" si="110"/>
        <v>October</v>
      </c>
      <c r="C668" s="13" t="str">
        <f t="shared" si="111"/>
        <v>2025-10</v>
      </c>
      <c r="D668" s="8">
        <v>20</v>
      </c>
      <c r="E668" s="8">
        <v>51</v>
      </c>
      <c r="F668" s="8">
        <v>15</v>
      </c>
      <c r="G668" s="8">
        <v>2164</v>
      </c>
      <c r="H668" s="8">
        <v>16</v>
      </c>
      <c r="I668" s="14">
        <f t="shared" si="112"/>
        <v>2215</v>
      </c>
      <c r="J668" s="14">
        <f t="shared" si="113"/>
        <v>-1</v>
      </c>
      <c r="K668" s="15">
        <f t="shared" si="114"/>
        <v>-3.1602708803611739E-3</v>
      </c>
      <c r="L668" s="16" t="str">
        <f t="shared" si="115"/>
        <v>Valid</v>
      </c>
      <c r="M668" s="16" t="str">
        <f t="shared" si="116"/>
        <v>Valid</v>
      </c>
      <c r="N668" s="17" t="str">
        <f t="shared" si="117"/>
        <v>Stable/Reducing</v>
      </c>
      <c r="O668" s="16">
        <f t="shared" si="118"/>
        <v>1.0666666666666667</v>
      </c>
      <c r="P668" s="14">
        <f t="shared" si="120"/>
        <v>2230.2857142857142</v>
      </c>
      <c r="Q668" s="16">
        <f t="shared" si="119"/>
        <v>2918.4580782596145</v>
      </c>
    </row>
    <row r="669" spans="1:17" x14ac:dyDescent="0.3">
      <c r="A669" s="13">
        <v>45935</v>
      </c>
      <c r="B669" s="13" t="str">
        <f t="shared" si="110"/>
        <v>October</v>
      </c>
      <c r="C669" s="13" t="str">
        <f t="shared" si="111"/>
        <v>2025-10</v>
      </c>
      <c r="D669" s="8">
        <v>8</v>
      </c>
      <c r="E669" s="8">
        <v>28</v>
      </c>
      <c r="F669" s="8">
        <v>13</v>
      </c>
      <c r="G669" s="8">
        <v>2180</v>
      </c>
      <c r="H669" s="8">
        <v>16</v>
      </c>
      <c r="I669" s="14">
        <f t="shared" si="112"/>
        <v>2208</v>
      </c>
      <c r="J669" s="14">
        <f t="shared" si="113"/>
        <v>-3</v>
      </c>
      <c r="K669" s="15">
        <f t="shared" si="114"/>
        <v>5.434782608695652E-3</v>
      </c>
      <c r="L669" s="16" t="str">
        <f t="shared" si="115"/>
        <v>Valid</v>
      </c>
      <c r="M669" s="16" t="str">
        <f t="shared" si="116"/>
        <v>Valid</v>
      </c>
      <c r="N669" s="17" t="str">
        <f t="shared" si="117"/>
        <v>Stable/Reducing</v>
      </c>
      <c r="O669" s="16">
        <f t="shared" si="118"/>
        <v>1.2307692307692308</v>
      </c>
      <c r="P669" s="14">
        <f t="shared" si="120"/>
        <v>2237.4285714285716</v>
      </c>
      <c r="Q669" s="16">
        <f t="shared" si="119"/>
        <v>2918.4580782596145</v>
      </c>
    </row>
    <row r="670" spans="1:17" x14ac:dyDescent="0.3">
      <c r="A670" s="13">
        <v>45936</v>
      </c>
      <c r="B670" s="13" t="str">
        <f t="shared" si="110"/>
        <v>October</v>
      </c>
      <c r="C670" s="13" t="str">
        <f t="shared" si="111"/>
        <v>2025-10</v>
      </c>
      <c r="D670" s="8">
        <v>5</v>
      </c>
      <c r="E670" s="8">
        <v>33</v>
      </c>
      <c r="F670" s="8">
        <v>15</v>
      </c>
      <c r="G670" s="8">
        <v>2187</v>
      </c>
      <c r="H670" s="8">
        <v>10</v>
      </c>
      <c r="I670" s="14">
        <f t="shared" si="112"/>
        <v>2220</v>
      </c>
      <c r="J670" s="14">
        <f t="shared" si="113"/>
        <v>5</v>
      </c>
      <c r="K670" s="15">
        <f t="shared" si="114"/>
        <v>6.3063063063063061E-3</v>
      </c>
      <c r="L670" s="16" t="str">
        <f t="shared" si="115"/>
        <v>Valid</v>
      </c>
      <c r="M670" s="16" t="str">
        <f t="shared" si="116"/>
        <v>Valid</v>
      </c>
      <c r="N670" s="17" t="str">
        <f t="shared" si="117"/>
        <v>Increasing Pressure</v>
      </c>
      <c r="O670" s="16">
        <f t="shared" si="118"/>
        <v>0.66666666666666663</v>
      </c>
      <c r="P670" s="14">
        <f t="shared" si="120"/>
        <v>2244</v>
      </c>
      <c r="Q670" s="16">
        <f t="shared" si="119"/>
        <v>2918.4580782596145</v>
      </c>
    </row>
    <row r="671" spans="1:17" x14ac:dyDescent="0.3">
      <c r="A671" s="13">
        <v>45937</v>
      </c>
      <c r="B671" s="13" t="str">
        <f t="shared" si="110"/>
        <v>October</v>
      </c>
      <c r="C671" s="13" t="str">
        <f t="shared" si="111"/>
        <v>2025-10</v>
      </c>
      <c r="D671" s="8">
        <v>11</v>
      </c>
      <c r="E671" s="8">
        <v>45</v>
      </c>
      <c r="F671" s="8">
        <v>4</v>
      </c>
      <c r="G671" s="8">
        <v>2189</v>
      </c>
      <c r="H671" s="8">
        <v>10</v>
      </c>
      <c r="I671" s="14">
        <f t="shared" si="112"/>
        <v>2234</v>
      </c>
      <c r="J671" s="14">
        <f t="shared" si="113"/>
        <v>-6</v>
      </c>
      <c r="K671" s="15">
        <f t="shared" si="114"/>
        <v>3.1333930170098479E-3</v>
      </c>
      <c r="L671" s="16" t="str">
        <f t="shared" si="115"/>
        <v>Valid</v>
      </c>
      <c r="M671" s="16" t="str">
        <f t="shared" si="116"/>
        <v>Valid</v>
      </c>
      <c r="N671" s="17" t="str">
        <f t="shared" si="117"/>
        <v>Stable/Reducing</v>
      </c>
      <c r="O671" s="16">
        <f t="shared" si="118"/>
        <v>2.5</v>
      </c>
      <c r="P671" s="14">
        <f t="shared" si="120"/>
        <v>2250.5714285714284</v>
      </c>
      <c r="Q671" s="16">
        <f t="shared" si="119"/>
        <v>2918.4580782596145</v>
      </c>
    </row>
    <row r="672" spans="1:17" x14ac:dyDescent="0.3">
      <c r="A672" s="13">
        <v>45938</v>
      </c>
      <c r="B672" s="13" t="str">
        <f t="shared" si="110"/>
        <v>October</v>
      </c>
      <c r="C672" s="13" t="str">
        <f t="shared" si="111"/>
        <v>2025-10</v>
      </c>
      <c r="D672" s="8">
        <v>8</v>
      </c>
      <c r="E672" s="8">
        <v>49</v>
      </c>
      <c r="F672" s="8">
        <v>15</v>
      </c>
      <c r="G672" s="8">
        <v>2192</v>
      </c>
      <c r="H672" s="8">
        <v>17</v>
      </c>
      <c r="I672" s="14">
        <f t="shared" si="112"/>
        <v>2241</v>
      </c>
      <c r="J672" s="14">
        <f t="shared" si="113"/>
        <v>-2</v>
      </c>
      <c r="K672" s="15">
        <f t="shared" si="114"/>
        <v>2.6773761713520749E-3</v>
      </c>
      <c r="L672" s="16" t="str">
        <f t="shared" si="115"/>
        <v>Valid</v>
      </c>
      <c r="M672" s="16" t="str">
        <f t="shared" si="116"/>
        <v>Valid</v>
      </c>
      <c r="N672" s="17" t="str">
        <f t="shared" si="117"/>
        <v>Stable/Reducing</v>
      </c>
      <c r="O672" s="16">
        <f t="shared" si="118"/>
        <v>1.1333333333333333</v>
      </c>
      <c r="P672" s="14">
        <f t="shared" si="120"/>
        <v>2255.8571428571427</v>
      </c>
      <c r="Q672" s="16">
        <f t="shared" si="119"/>
        <v>2918.4580782596145</v>
      </c>
    </row>
    <row r="673" spans="1:17" x14ac:dyDescent="0.3">
      <c r="A673" s="13">
        <v>45939</v>
      </c>
      <c r="B673" s="13" t="str">
        <f t="shared" si="110"/>
        <v>October</v>
      </c>
      <c r="C673" s="13" t="str">
        <f t="shared" si="111"/>
        <v>2025-10</v>
      </c>
      <c r="D673" s="8">
        <v>11</v>
      </c>
      <c r="E673" s="8">
        <v>55</v>
      </c>
      <c r="F673" s="8">
        <v>13</v>
      </c>
      <c r="G673" s="8">
        <v>2192</v>
      </c>
      <c r="H673" s="8">
        <v>12</v>
      </c>
      <c r="I673" s="14">
        <f t="shared" si="112"/>
        <v>2247</v>
      </c>
      <c r="J673" s="14">
        <f t="shared" si="113"/>
        <v>1</v>
      </c>
      <c r="K673" s="15">
        <f t="shared" si="114"/>
        <v>0</v>
      </c>
      <c r="L673" s="16" t="str">
        <f t="shared" si="115"/>
        <v>Valid</v>
      </c>
      <c r="M673" s="16" t="str">
        <f t="shared" si="116"/>
        <v>Valid</v>
      </c>
      <c r="N673" s="17" t="str">
        <f t="shared" si="117"/>
        <v>Increasing Pressure</v>
      </c>
      <c r="O673" s="16">
        <f t="shared" si="118"/>
        <v>0.92307692307692313</v>
      </c>
      <c r="P673" s="14">
        <f t="shared" si="120"/>
        <v>2261.7142857142858</v>
      </c>
      <c r="Q673" s="16">
        <f t="shared" si="119"/>
        <v>2918.4580782596145</v>
      </c>
    </row>
    <row r="674" spans="1:17" x14ac:dyDescent="0.3">
      <c r="A674" s="13">
        <v>45943</v>
      </c>
      <c r="B674" s="13" t="str">
        <f t="shared" si="110"/>
        <v>October</v>
      </c>
      <c r="C674" s="13" t="str">
        <f t="shared" si="111"/>
        <v>2025-10</v>
      </c>
      <c r="D674" s="8">
        <v>8</v>
      </c>
      <c r="E674" s="8">
        <v>24</v>
      </c>
      <c r="F674" s="8">
        <v>7</v>
      </c>
      <c r="G674" s="8">
        <v>2223</v>
      </c>
      <c r="H674" s="8">
        <v>6</v>
      </c>
      <c r="I674" s="14">
        <f t="shared" si="112"/>
        <v>2247</v>
      </c>
      <c r="J674" s="14">
        <f t="shared" si="113"/>
        <v>1</v>
      </c>
      <c r="K674" s="15">
        <f t="shared" si="114"/>
        <v>8.0106809078771702E-3</v>
      </c>
      <c r="L674" s="16" t="str">
        <f t="shared" si="115"/>
        <v>Valid</v>
      </c>
      <c r="M674" s="16" t="str">
        <f t="shared" si="116"/>
        <v>Valid</v>
      </c>
      <c r="N674" s="17" t="str">
        <f t="shared" si="117"/>
        <v>Increasing Pressure</v>
      </c>
      <c r="O674" s="16">
        <f t="shared" si="118"/>
        <v>0.8571428571428571</v>
      </c>
      <c r="P674" s="14">
        <f t="shared" si="120"/>
        <v>2267.8571428571427</v>
      </c>
      <c r="Q674" s="16">
        <f t="shared" si="119"/>
        <v>2918.4580782596145</v>
      </c>
    </row>
    <row r="675" spans="1:17" x14ac:dyDescent="0.3">
      <c r="A675" s="13">
        <v>45944</v>
      </c>
      <c r="B675" s="13" t="str">
        <f t="shared" si="110"/>
        <v>October</v>
      </c>
      <c r="C675" s="13" t="str">
        <f t="shared" si="111"/>
        <v>2025-10</v>
      </c>
      <c r="D675" s="8">
        <v>7</v>
      </c>
      <c r="E675" s="8">
        <v>30</v>
      </c>
      <c r="F675" s="8">
        <v>16</v>
      </c>
      <c r="G675" s="8">
        <v>2235</v>
      </c>
      <c r="H675" s="8">
        <v>8</v>
      </c>
      <c r="I675" s="14">
        <f t="shared" si="112"/>
        <v>2265</v>
      </c>
      <c r="J675" s="14">
        <f t="shared" si="113"/>
        <v>8</v>
      </c>
      <c r="K675" s="15">
        <f t="shared" si="114"/>
        <v>-4.8565121412803532E-3</v>
      </c>
      <c r="L675" s="16" t="str">
        <f t="shared" si="115"/>
        <v>Valid</v>
      </c>
      <c r="M675" s="16" t="str">
        <f t="shared" si="116"/>
        <v>Valid</v>
      </c>
      <c r="N675" s="17" t="str">
        <f t="shared" si="117"/>
        <v>Increasing Pressure</v>
      </c>
      <c r="O675" s="16">
        <f t="shared" si="118"/>
        <v>0.5</v>
      </c>
      <c r="P675" s="14">
        <f t="shared" si="120"/>
        <v>2275.8571428571427</v>
      </c>
      <c r="Q675" s="16">
        <f t="shared" si="119"/>
        <v>2918.4580782596145</v>
      </c>
    </row>
    <row r="676" spans="1:17" x14ac:dyDescent="0.3">
      <c r="A676" s="13">
        <v>45945</v>
      </c>
      <c r="B676" s="13" t="str">
        <f t="shared" si="110"/>
        <v>October</v>
      </c>
      <c r="C676" s="13" t="str">
        <f t="shared" si="111"/>
        <v>2025-10</v>
      </c>
      <c r="D676" s="8">
        <v>8</v>
      </c>
      <c r="E676" s="8">
        <v>29</v>
      </c>
      <c r="F676" s="8">
        <v>10</v>
      </c>
      <c r="G676" s="8">
        <v>2225</v>
      </c>
      <c r="H676" s="8">
        <v>15</v>
      </c>
      <c r="I676" s="14">
        <f t="shared" si="112"/>
        <v>2254</v>
      </c>
      <c r="J676" s="14">
        <f t="shared" si="113"/>
        <v>-5</v>
      </c>
      <c r="K676" s="15">
        <f t="shared" si="114"/>
        <v>5.3238686779059448E-3</v>
      </c>
      <c r="L676" s="16" t="str">
        <f t="shared" si="115"/>
        <v>Valid</v>
      </c>
      <c r="M676" s="16" t="str">
        <f t="shared" si="116"/>
        <v>Valid</v>
      </c>
      <c r="N676" s="17" t="str">
        <f t="shared" si="117"/>
        <v>Stable/Reducing</v>
      </c>
      <c r="O676" s="16">
        <f t="shared" si="118"/>
        <v>1.5</v>
      </c>
      <c r="P676" s="14">
        <f t="shared" si="120"/>
        <v>2279.8571428571427</v>
      </c>
      <c r="Q676" s="16">
        <f t="shared" si="119"/>
        <v>2918.4580782596145</v>
      </c>
    </row>
    <row r="677" spans="1:17" x14ac:dyDescent="0.3">
      <c r="A677" s="13">
        <v>45946</v>
      </c>
      <c r="B677" s="13" t="str">
        <f t="shared" si="110"/>
        <v>October</v>
      </c>
      <c r="C677" s="13" t="str">
        <f t="shared" si="111"/>
        <v>2025-10</v>
      </c>
      <c r="D677" s="8">
        <v>9</v>
      </c>
      <c r="E677" s="8">
        <v>33</v>
      </c>
      <c r="F677" s="8">
        <v>15</v>
      </c>
      <c r="G677" s="8">
        <v>2233</v>
      </c>
      <c r="H677" s="8">
        <v>9</v>
      </c>
      <c r="I677" s="14">
        <f t="shared" si="112"/>
        <v>2266</v>
      </c>
      <c r="J677" s="14">
        <f t="shared" si="113"/>
        <v>6</v>
      </c>
      <c r="K677" s="15">
        <f t="shared" si="114"/>
        <v>2.2065313327449248E-3</v>
      </c>
      <c r="L677" s="16" t="str">
        <f t="shared" si="115"/>
        <v>Valid</v>
      </c>
      <c r="M677" s="16" t="str">
        <f t="shared" si="116"/>
        <v>Valid</v>
      </c>
      <c r="N677" s="17" t="str">
        <f t="shared" si="117"/>
        <v>Increasing Pressure</v>
      </c>
      <c r="O677" s="16">
        <f t="shared" si="118"/>
        <v>0.6</v>
      </c>
      <c r="P677" s="14">
        <f t="shared" si="120"/>
        <v>2288</v>
      </c>
      <c r="Q677" s="16">
        <f t="shared" si="119"/>
        <v>2918.4580782596145</v>
      </c>
    </row>
    <row r="678" spans="1:17" x14ac:dyDescent="0.3">
      <c r="A678" s="13">
        <v>45949</v>
      </c>
      <c r="B678" s="13" t="str">
        <f t="shared" si="110"/>
        <v>October</v>
      </c>
      <c r="C678" s="13" t="str">
        <f t="shared" si="111"/>
        <v>2025-10</v>
      </c>
      <c r="D678" s="8">
        <v>9</v>
      </c>
      <c r="E678" s="8">
        <v>34</v>
      </c>
      <c r="F678" s="8">
        <v>17</v>
      </c>
      <c r="G678" s="8">
        <v>2237</v>
      </c>
      <c r="H678" s="8">
        <v>7</v>
      </c>
      <c r="I678" s="14">
        <f t="shared" si="112"/>
        <v>2271</v>
      </c>
      <c r="J678" s="14">
        <f t="shared" si="113"/>
        <v>10</v>
      </c>
      <c r="K678" s="15">
        <f t="shared" si="114"/>
        <v>4.8436811977102595E-3</v>
      </c>
      <c r="L678" s="16" t="str">
        <f t="shared" si="115"/>
        <v>Valid</v>
      </c>
      <c r="M678" s="16" t="str">
        <f t="shared" si="116"/>
        <v>Valid</v>
      </c>
      <c r="N678" s="17" t="str">
        <f t="shared" si="117"/>
        <v>Increasing Pressure</v>
      </c>
      <c r="O678" s="16">
        <f t="shared" si="118"/>
        <v>0.41176470588235292</v>
      </c>
      <c r="P678" s="14">
        <f t="shared" si="120"/>
        <v>2294.7142857142858</v>
      </c>
      <c r="Q678" s="16">
        <f t="shared" si="119"/>
        <v>2918.4580782596145</v>
      </c>
    </row>
    <row r="679" spans="1:17" x14ac:dyDescent="0.3">
      <c r="A679" s="13">
        <v>45950</v>
      </c>
      <c r="B679" s="13" t="str">
        <f t="shared" si="110"/>
        <v>October</v>
      </c>
      <c r="C679" s="13" t="str">
        <f t="shared" si="111"/>
        <v>2025-10</v>
      </c>
      <c r="D679" s="8">
        <v>10</v>
      </c>
      <c r="E679" s="8">
        <v>39</v>
      </c>
      <c r="F679" s="8">
        <v>6</v>
      </c>
      <c r="G679" s="8">
        <v>2243</v>
      </c>
      <c r="H679" s="8">
        <v>7</v>
      </c>
      <c r="I679" s="14">
        <f t="shared" si="112"/>
        <v>2282</v>
      </c>
      <c r="J679" s="14">
        <f t="shared" si="113"/>
        <v>-1</v>
      </c>
      <c r="K679" s="15">
        <f t="shared" si="114"/>
        <v>3.5056967572304996E-3</v>
      </c>
      <c r="L679" s="16" t="str">
        <f t="shared" si="115"/>
        <v>Valid</v>
      </c>
      <c r="M679" s="16" t="str">
        <f t="shared" si="116"/>
        <v>Valid</v>
      </c>
      <c r="N679" s="17" t="str">
        <f t="shared" si="117"/>
        <v>Stable/Reducing</v>
      </c>
      <c r="O679" s="16">
        <f t="shared" si="118"/>
        <v>1.1666666666666667</v>
      </c>
      <c r="P679" s="14">
        <f t="shared" si="120"/>
        <v>2300</v>
      </c>
      <c r="Q679" s="16">
        <f t="shared" si="119"/>
        <v>2918.4580782596145</v>
      </c>
    </row>
    <row r="680" spans="1:17" x14ac:dyDescent="0.3">
      <c r="A680" s="13">
        <v>45951</v>
      </c>
      <c r="B680" s="13" t="str">
        <f t="shared" si="110"/>
        <v>October</v>
      </c>
      <c r="C680" s="13" t="str">
        <f t="shared" si="111"/>
        <v>2025-10</v>
      </c>
      <c r="D680" s="8">
        <v>13</v>
      </c>
      <c r="E680" s="8">
        <v>39</v>
      </c>
      <c r="F680" s="8">
        <v>17</v>
      </c>
      <c r="G680" s="8">
        <v>2251</v>
      </c>
      <c r="H680" s="8">
        <v>9</v>
      </c>
      <c r="I680" s="14">
        <f t="shared" si="112"/>
        <v>2290</v>
      </c>
      <c r="J680" s="14">
        <f t="shared" si="113"/>
        <v>8</v>
      </c>
      <c r="K680" s="15">
        <f t="shared" si="114"/>
        <v>5.6768558951965069E-3</v>
      </c>
      <c r="L680" s="16" t="str">
        <f t="shared" si="115"/>
        <v>Valid</v>
      </c>
      <c r="M680" s="16" t="str">
        <f t="shared" si="116"/>
        <v>Valid</v>
      </c>
      <c r="N680" s="17" t="str">
        <f t="shared" si="117"/>
        <v>Increasing Pressure</v>
      </c>
      <c r="O680" s="16">
        <f t="shared" si="118"/>
        <v>0.52941176470588236</v>
      </c>
      <c r="P680" s="14">
        <f t="shared" si="120"/>
        <v>2303.2857142857142</v>
      </c>
      <c r="Q680" s="16">
        <f t="shared" si="119"/>
        <v>2918.4580782596145</v>
      </c>
    </row>
    <row r="681" spans="1:17" x14ac:dyDescent="0.3">
      <c r="A681" s="13">
        <v>45952</v>
      </c>
      <c r="B681" s="13" t="str">
        <f t="shared" si="110"/>
        <v>October</v>
      </c>
      <c r="C681" s="13" t="str">
        <f t="shared" si="111"/>
        <v>2025-10</v>
      </c>
      <c r="D681" s="8">
        <v>12</v>
      </c>
      <c r="E681" s="8">
        <v>42</v>
      </c>
      <c r="F681" s="8">
        <v>13</v>
      </c>
      <c r="G681" s="8">
        <v>2261</v>
      </c>
      <c r="H681" s="8">
        <v>12</v>
      </c>
      <c r="I681" s="14">
        <f t="shared" si="112"/>
        <v>2303</v>
      </c>
      <c r="J681" s="14">
        <f t="shared" si="113"/>
        <v>1</v>
      </c>
      <c r="K681" s="15">
        <f t="shared" si="114"/>
        <v>-4.3421623968736434E-3</v>
      </c>
      <c r="L681" s="16" t="str">
        <f t="shared" si="115"/>
        <v>Valid</v>
      </c>
      <c r="M681" s="16" t="str">
        <f t="shared" si="116"/>
        <v>Valid</v>
      </c>
      <c r="N681" s="17" t="str">
        <f t="shared" si="117"/>
        <v>Increasing Pressure</v>
      </c>
      <c r="O681" s="16">
        <f t="shared" si="118"/>
        <v>0.92307692307692313</v>
      </c>
      <c r="P681" s="14">
        <f t="shared" si="120"/>
        <v>2305.2857142857142</v>
      </c>
      <c r="Q681" s="16">
        <f t="shared" si="119"/>
        <v>2918.4580782596145</v>
      </c>
    </row>
    <row r="682" spans="1:17" x14ac:dyDescent="0.3">
      <c r="A682" s="13">
        <v>45953</v>
      </c>
      <c r="B682" s="13" t="str">
        <f t="shared" si="110"/>
        <v>October</v>
      </c>
      <c r="C682" s="13" t="str">
        <f t="shared" si="111"/>
        <v>2025-10</v>
      </c>
      <c r="D682" s="8">
        <v>4</v>
      </c>
      <c r="E682" s="8">
        <v>27</v>
      </c>
      <c r="F682" s="8">
        <v>26</v>
      </c>
      <c r="G682" s="8">
        <v>2266</v>
      </c>
      <c r="H682" s="8">
        <v>18</v>
      </c>
      <c r="I682" s="14">
        <f t="shared" si="112"/>
        <v>2293</v>
      </c>
      <c r="J682" s="14">
        <f t="shared" si="113"/>
        <v>8</v>
      </c>
      <c r="K682" s="15">
        <f t="shared" si="114"/>
        <v>7.849978194505015E-3</v>
      </c>
      <c r="L682" s="16" t="str">
        <f t="shared" si="115"/>
        <v>Valid</v>
      </c>
      <c r="M682" s="16" t="str">
        <f t="shared" si="116"/>
        <v>Valid</v>
      </c>
      <c r="N682" s="17" t="str">
        <f t="shared" si="117"/>
        <v>Increasing Pressure</v>
      </c>
      <c r="O682" s="16">
        <f t="shared" si="118"/>
        <v>0.69230769230769229</v>
      </c>
      <c r="P682" s="14">
        <f t="shared" si="120"/>
        <v>2304.5714285714284</v>
      </c>
      <c r="Q682" s="16">
        <f t="shared" si="119"/>
        <v>2918.4580782596145</v>
      </c>
    </row>
    <row r="683" spans="1:17" x14ac:dyDescent="0.3">
      <c r="A683" s="13">
        <v>45956</v>
      </c>
      <c r="B683" s="13" t="str">
        <f t="shared" si="110"/>
        <v>October</v>
      </c>
      <c r="C683" s="13" t="str">
        <f t="shared" si="111"/>
        <v>2025-10</v>
      </c>
      <c r="D683" s="8">
        <v>4</v>
      </c>
      <c r="E683" s="8">
        <v>35</v>
      </c>
      <c r="F683" s="8">
        <v>12</v>
      </c>
      <c r="G683" s="8">
        <v>2276</v>
      </c>
      <c r="H683" s="8">
        <v>10</v>
      </c>
      <c r="I683" s="14">
        <f t="shared" si="112"/>
        <v>2311</v>
      </c>
      <c r="J683" s="14">
        <f t="shared" si="113"/>
        <v>2</v>
      </c>
      <c r="K683" s="15">
        <f t="shared" si="114"/>
        <v>8.6542622241453913E-4</v>
      </c>
      <c r="L683" s="16" t="str">
        <f t="shared" si="115"/>
        <v>Valid</v>
      </c>
      <c r="M683" s="16" t="str">
        <f t="shared" si="116"/>
        <v>Valid</v>
      </c>
      <c r="N683" s="17" t="str">
        <f t="shared" si="117"/>
        <v>Increasing Pressure</v>
      </c>
      <c r="O683" s="16">
        <f t="shared" si="118"/>
        <v>0.83333333333333337</v>
      </c>
      <c r="P683" s="14">
        <f t="shared" si="120"/>
        <v>2305.1428571428573</v>
      </c>
      <c r="Q683" s="16">
        <f t="shared" si="119"/>
        <v>2918.4580782596145</v>
      </c>
    </row>
    <row r="684" spans="1:17" x14ac:dyDescent="0.3">
      <c r="A684" s="13">
        <v>45957</v>
      </c>
      <c r="B684" s="13" t="str">
        <f t="shared" si="110"/>
        <v>October</v>
      </c>
      <c r="C684" s="13" t="str">
        <f t="shared" si="111"/>
        <v>2025-10</v>
      </c>
      <c r="D684" s="8">
        <v>2</v>
      </c>
      <c r="E684" s="8">
        <v>31</v>
      </c>
      <c r="F684" s="8">
        <v>8</v>
      </c>
      <c r="G684" s="8">
        <v>2282</v>
      </c>
      <c r="H684" s="8">
        <v>11</v>
      </c>
      <c r="I684" s="14">
        <f t="shared" si="112"/>
        <v>2313</v>
      </c>
      <c r="J684" s="14">
        <f t="shared" si="113"/>
        <v>-3</v>
      </c>
      <c r="K684" s="15">
        <f t="shared" si="114"/>
        <v>-2.1616947686986599E-3</v>
      </c>
      <c r="L684" s="16" t="str">
        <f t="shared" si="115"/>
        <v>Valid</v>
      </c>
      <c r="M684" s="16" t="str">
        <f t="shared" si="116"/>
        <v>Valid</v>
      </c>
      <c r="N684" s="17" t="str">
        <f t="shared" si="117"/>
        <v>Stable/Reducing</v>
      </c>
      <c r="O684" s="16">
        <f t="shared" si="118"/>
        <v>1.375</v>
      </c>
      <c r="P684" s="14">
        <f t="shared" si="120"/>
        <v>2304</v>
      </c>
      <c r="Q684" s="16">
        <f t="shared" si="119"/>
        <v>2918.4580782596145</v>
      </c>
    </row>
    <row r="685" spans="1:17" x14ac:dyDescent="0.3">
      <c r="A685" s="13">
        <v>45958</v>
      </c>
      <c r="B685" s="13" t="str">
        <f t="shared" si="110"/>
        <v>October</v>
      </c>
      <c r="C685" s="13" t="str">
        <f t="shared" si="111"/>
        <v>2025-10</v>
      </c>
      <c r="D685" s="8">
        <v>6</v>
      </c>
      <c r="E685" s="8">
        <v>22</v>
      </c>
      <c r="F685" s="8">
        <v>11</v>
      </c>
      <c r="G685" s="8">
        <v>2286</v>
      </c>
      <c r="H685" s="8">
        <v>6</v>
      </c>
      <c r="I685" s="14">
        <f t="shared" si="112"/>
        <v>2308</v>
      </c>
      <c r="J685" s="14">
        <f t="shared" si="113"/>
        <v>5</v>
      </c>
      <c r="K685" s="15">
        <f t="shared" si="114"/>
        <v>-1.2998266897746968E-3</v>
      </c>
      <c r="L685" s="16" t="str">
        <f t="shared" si="115"/>
        <v>Valid</v>
      </c>
      <c r="M685" s="16" t="str">
        <f t="shared" si="116"/>
        <v>Valid</v>
      </c>
      <c r="N685" s="17" t="str">
        <f t="shared" si="117"/>
        <v>Increasing Pressure</v>
      </c>
      <c r="O685" s="16">
        <f t="shared" si="118"/>
        <v>0.54545454545454541</v>
      </c>
      <c r="P685" s="14">
        <f t="shared" si="120"/>
        <v>2304</v>
      </c>
      <c r="Q685" s="16">
        <f t="shared" si="119"/>
        <v>2918.4580782596145</v>
      </c>
    </row>
    <row r="686" spans="1:17" x14ac:dyDescent="0.3">
      <c r="A686" s="13">
        <v>45959</v>
      </c>
      <c r="B686" s="13" t="str">
        <f t="shared" si="110"/>
        <v>October</v>
      </c>
      <c r="C686" s="13" t="str">
        <f t="shared" si="111"/>
        <v>2025-10</v>
      </c>
      <c r="D686" s="8">
        <v>6</v>
      </c>
      <c r="E686" s="8">
        <v>25</v>
      </c>
      <c r="F686" s="8">
        <v>4</v>
      </c>
      <c r="G686" s="8">
        <v>2280</v>
      </c>
      <c r="H686" s="8">
        <v>17</v>
      </c>
      <c r="I686" s="14">
        <f t="shared" si="112"/>
        <v>2305</v>
      </c>
      <c r="J686" s="14">
        <f t="shared" si="113"/>
        <v>-13</v>
      </c>
      <c r="K686" s="15">
        <f t="shared" si="114"/>
        <v>-4.3383947939262471E-4</v>
      </c>
      <c r="L686" s="16" t="str">
        <f t="shared" si="115"/>
        <v>Valid</v>
      </c>
      <c r="M686" s="16" t="str">
        <f t="shared" si="116"/>
        <v>Valid</v>
      </c>
      <c r="N686" s="17" t="str">
        <f t="shared" si="117"/>
        <v>Stable/Reducing</v>
      </c>
      <c r="O686" s="16">
        <f t="shared" si="118"/>
        <v>4.25</v>
      </c>
      <c r="P686" s="14">
        <f t="shared" si="120"/>
        <v>2302.4285714285716</v>
      </c>
      <c r="Q686" s="16">
        <f t="shared" si="119"/>
        <v>2918.4580782596145</v>
      </c>
    </row>
    <row r="687" spans="1:17" x14ac:dyDescent="0.3">
      <c r="A687" s="13">
        <v>45960</v>
      </c>
      <c r="B687" s="13" t="str">
        <f t="shared" si="110"/>
        <v>October</v>
      </c>
      <c r="C687" s="13" t="str">
        <f t="shared" si="111"/>
        <v>2025-10</v>
      </c>
      <c r="D687" s="8">
        <v>3</v>
      </c>
      <c r="E687" s="8">
        <v>17</v>
      </c>
      <c r="F687" s="8">
        <v>14</v>
      </c>
      <c r="G687" s="8">
        <v>2287</v>
      </c>
      <c r="H687" s="8">
        <v>12</v>
      </c>
      <c r="I687" s="14">
        <f t="shared" si="112"/>
        <v>2304</v>
      </c>
      <c r="J687" s="14">
        <f t="shared" si="113"/>
        <v>2</v>
      </c>
      <c r="K687" s="15">
        <f t="shared" si="114"/>
        <v>-2.6041666666666665E-3</v>
      </c>
      <c r="L687" s="16" t="str">
        <f t="shared" si="115"/>
        <v>Valid</v>
      </c>
      <c r="M687" s="16" t="str">
        <f t="shared" si="116"/>
        <v>Valid</v>
      </c>
      <c r="N687" s="17" t="str">
        <f t="shared" si="117"/>
        <v>Increasing Pressure</v>
      </c>
      <c r="O687" s="16">
        <f t="shared" si="118"/>
        <v>0.8571428571428571</v>
      </c>
      <c r="P687" s="14">
        <f t="shared" si="120"/>
        <v>2305.5714285714284</v>
      </c>
      <c r="Q687" s="16">
        <f t="shared" si="119"/>
        <v>2918.4580782596145</v>
      </c>
    </row>
    <row r="688" spans="1:17" x14ac:dyDescent="0.3">
      <c r="A688" s="13">
        <v>45963</v>
      </c>
      <c r="B688" s="13" t="str">
        <f t="shared" si="110"/>
        <v>November</v>
      </c>
      <c r="C688" s="13" t="str">
        <f t="shared" si="111"/>
        <v>2025-11</v>
      </c>
      <c r="D688" s="8">
        <v>5</v>
      </c>
      <c r="E688" s="8">
        <v>21</v>
      </c>
      <c r="F688" s="8">
        <v>10</v>
      </c>
      <c r="G688" s="8">
        <v>2277</v>
      </c>
      <c r="H688" s="8">
        <v>7</v>
      </c>
      <c r="I688" s="14">
        <f t="shared" si="112"/>
        <v>2298</v>
      </c>
      <c r="J688" s="14">
        <f t="shared" si="113"/>
        <v>3</v>
      </c>
      <c r="K688" s="15">
        <f t="shared" si="114"/>
        <v>-4.351610095735422E-4</v>
      </c>
      <c r="L688" s="16" t="str">
        <f t="shared" si="115"/>
        <v>Valid</v>
      </c>
      <c r="M688" s="16" t="str">
        <f t="shared" si="116"/>
        <v>Valid</v>
      </c>
      <c r="N688" s="17" t="str">
        <f t="shared" si="117"/>
        <v>Increasing Pressure</v>
      </c>
      <c r="O688" s="16">
        <f t="shared" si="118"/>
        <v>0.7</v>
      </c>
      <c r="P688" s="14">
        <f t="shared" si="120"/>
        <v>2309.7142857142858</v>
      </c>
      <c r="Q688" s="16">
        <f t="shared" si="119"/>
        <v>2918.4580782596145</v>
      </c>
    </row>
    <row r="689" spans="1:17" x14ac:dyDescent="0.3">
      <c r="A689" s="13">
        <v>45964</v>
      </c>
      <c r="B689" s="13" t="str">
        <f t="shared" si="110"/>
        <v>November</v>
      </c>
      <c r="C689" s="13" t="str">
        <f t="shared" si="111"/>
        <v>2025-11</v>
      </c>
      <c r="D689" s="8">
        <v>3</v>
      </c>
      <c r="E689" s="8">
        <v>28</v>
      </c>
      <c r="F689" s="8">
        <v>5</v>
      </c>
      <c r="G689" s="8">
        <v>2269</v>
      </c>
      <c r="H689" s="8">
        <v>12</v>
      </c>
      <c r="I689" s="14">
        <f t="shared" si="112"/>
        <v>2297</v>
      </c>
      <c r="J689" s="14">
        <f t="shared" si="113"/>
        <v>-7</v>
      </c>
      <c r="K689" s="15">
        <f t="shared" si="114"/>
        <v>2.6121027427078798E-3</v>
      </c>
      <c r="L689" s="16" t="str">
        <f t="shared" si="115"/>
        <v>Valid</v>
      </c>
      <c r="M689" s="16" t="str">
        <f t="shared" si="116"/>
        <v>Valid</v>
      </c>
      <c r="N689" s="17" t="str">
        <f t="shared" si="117"/>
        <v>Stable/Reducing</v>
      </c>
      <c r="O689" s="16">
        <f t="shared" si="118"/>
        <v>2.4</v>
      </c>
      <c r="P689" s="14">
        <f t="shared" si="120"/>
        <v>2317.1428571428573</v>
      </c>
      <c r="Q689" s="16">
        <f t="shared" si="119"/>
        <v>2918.4580782596145</v>
      </c>
    </row>
    <row r="690" spans="1:17" x14ac:dyDescent="0.3">
      <c r="A690" s="13">
        <v>45965</v>
      </c>
      <c r="B690" s="13" t="str">
        <f t="shared" si="110"/>
        <v>November</v>
      </c>
      <c r="C690" s="13" t="str">
        <f t="shared" si="111"/>
        <v>2025-11</v>
      </c>
      <c r="D690" s="8">
        <v>6</v>
      </c>
      <c r="E690" s="8">
        <v>33</v>
      </c>
      <c r="F690" s="8">
        <v>6</v>
      </c>
      <c r="G690" s="8">
        <v>2270</v>
      </c>
      <c r="H690" s="8">
        <v>8</v>
      </c>
      <c r="I690" s="14">
        <f t="shared" si="112"/>
        <v>2303</v>
      </c>
      <c r="J690" s="14">
        <f t="shared" si="113"/>
        <v>-2</v>
      </c>
      <c r="K690" s="15">
        <f t="shared" si="114"/>
        <v>4.3421623968736434E-3</v>
      </c>
      <c r="L690" s="16" t="str">
        <f t="shared" si="115"/>
        <v>Valid</v>
      </c>
      <c r="M690" s="16" t="str">
        <f t="shared" si="116"/>
        <v>Valid</v>
      </c>
      <c r="N690" s="17" t="str">
        <f t="shared" si="117"/>
        <v>Stable/Reducing</v>
      </c>
      <c r="O690" s="16">
        <f t="shared" si="118"/>
        <v>1.3333333333333333</v>
      </c>
      <c r="P690" s="14">
        <f t="shared" si="120"/>
        <v>2323.7142857142858</v>
      </c>
      <c r="Q690" s="16">
        <f t="shared" si="119"/>
        <v>2918.4580782596145</v>
      </c>
    </row>
    <row r="691" spans="1:17" x14ac:dyDescent="0.3">
      <c r="A691" s="13">
        <v>45966</v>
      </c>
      <c r="B691" s="13" t="str">
        <f t="shared" si="110"/>
        <v>November</v>
      </c>
      <c r="C691" s="13" t="str">
        <f t="shared" si="111"/>
        <v>2025-11</v>
      </c>
      <c r="D691" s="8">
        <v>8</v>
      </c>
      <c r="E691" s="8">
        <v>41</v>
      </c>
      <c r="F691" s="8">
        <v>8</v>
      </c>
      <c r="G691" s="8">
        <v>2272</v>
      </c>
      <c r="H691" s="8">
        <v>7</v>
      </c>
      <c r="I691" s="14">
        <f t="shared" si="112"/>
        <v>2313</v>
      </c>
      <c r="J691" s="14">
        <f t="shared" si="113"/>
        <v>1</v>
      </c>
      <c r="K691" s="15">
        <f t="shared" si="114"/>
        <v>-6.9174232598357109E-3</v>
      </c>
      <c r="L691" s="16" t="str">
        <f t="shared" si="115"/>
        <v>Valid</v>
      </c>
      <c r="M691" s="16" t="str">
        <f t="shared" si="116"/>
        <v>Valid</v>
      </c>
      <c r="N691" s="17" t="str">
        <f t="shared" si="117"/>
        <v>Increasing Pressure</v>
      </c>
      <c r="O691" s="16">
        <f t="shared" si="118"/>
        <v>0.875</v>
      </c>
      <c r="P691" s="14">
        <f t="shared" si="120"/>
        <v>2332.1428571428573</v>
      </c>
      <c r="Q691" s="16">
        <f t="shared" si="119"/>
        <v>2918.4580782596145</v>
      </c>
    </row>
    <row r="692" spans="1:17" x14ac:dyDescent="0.3">
      <c r="A692" s="13">
        <v>45967</v>
      </c>
      <c r="B692" s="13" t="str">
        <f t="shared" si="110"/>
        <v>November</v>
      </c>
      <c r="C692" s="13" t="str">
        <f t="shared" si="111"/>
        <v>2025-11</v>
      </c>
      <c r="D692" s="8">
        <v>6</v>
      </c>
      <c r="E692" s="8">
        <v>33</v>
      </c>
      <c r="F692" s="8">
        <v>9</v>
      </c>
      <c r="G692" s="8">
        <v>2264</v>
      </c>
      <c r="H692" s="8">
        <v>19</v>
      </c>
      <c r="I692" s="14">
        <f t="shared" si="112"/>
        <v>2297</v>
      </c>
      <c r="J692" s="14">
        <f t="shared" si="113"/>
        <v>-10</v>
      </c>
      <c r="K692" s="15">
        <f t="shared" si="114"/>
        <v>1.3060513713539399E-2</v>
      </c>
      <c r="L692" s="16" t="str">
        <f t="shared" si="115"/>
        <v>Valid</v>
      </c>
      <c r="M692" s="16" t="str">
        <f t="shared" si="116"/>
        <v>Valid</v>
      </c>
      <c r="N692" s="17" t="str">
        <f t="shared" si="117"/>
        <v>Stable/Reducing</v>
      </c>
      <c r="O692" s="16">
        <f t="shared" si="118"/>
        <v>2.1111111111111112</v>
      </c>
      <c r="P692" s="14">
        <f t="shared" si="120"/>
        <v>2341.4285714285716</v>
      </c>
      <c r="Q692" s="16">
        <f t="shared" si="119"/>
        <v>2918.4580782596145</v>
      </c>
    </row>
    <row r="693" spans="1:17" x14ac:dyDescent="0.3">
      <c r="A693" s="13">
        <v>45970</v>
      </c>
      <c r="B693" s="13" t="str">
        <f t="shared" si="110"/>
        <v>November</v>
      </c>
      <c r="C693" s="13" t="str">
        <f t="shared" si="111"/>
        <v>2025-11</v>
      </c>
      <c r="D693" s="8">
        <v>11</v>
      </c>
      <c r="E693" s="8">
        <v>33</v>
      </c>
      <c r="F693" s="8">
        <v>5</v>
      </c>
      <c r="G693" s="8">
        <v>2294</v>
      </c>
      <c r="H693" s="8">
        <v>4</v>
      </c>
      <c r="I693" s="14">
        <f t="shared" si="112"/>
        <v>2327</v>
      </c>
      <c r="J693" s="14">
        <f t="shared" si="113"/>
        <v>1</v>
      </c>
      <c r="K693" s="15">
        <f t="shared" si="114"/>
        <v>2.578427159432746E-3</v>
      </c>
      <c r="L693" s="16" t="str">
        <f t="shared" si="115"/>
        <v>Valid</v>
      </c>
      <c r="M693" s="16" t="str">
        <f t="shared" si="116"/>
        <v>Valid</v>
      </c>
      <c r="N693" s="17" t="str">
        <f t="shared" si="117"/>
        <v>Increasing Pressure</v>
      </c>
      <c r="O693" s="16">
        <f t="shared" si="118"/>
        <v>0.8</v>
      </c>
      <c r="P693" s="14">
        <f t="shared" si="120"/>
        <v>2353.7142857142858</v>
      </c>
      <c r="Q693" s="16">
        <f t="shared" si="119"/>
        <v>2918.4580782596145</v>
      </c>
    </row>
    <row r="694" spans="1:17" x14ac:dyDescent="0.3">
      <c r="A694" s="13">
        <v>45972</v>
      </c>
      <c r="B694" s="13" t="str">
        <f t="shared" si="110"/>
        <v>November</v>
      </c>
      <c r="C694" s="13" t="str">
        <f t="shared" si="111"/>
        <v>2025-11</v>
      </c>
      <c r="D694" s="8">
        <v>11</v>
      </c>
      <c r="E694" s="8">
        <v>39</v>
      </c>
      <c r="F694" s="8">
        <v>12</v>
      </c>
      <c r="G694" s="8">
        <v>2294</v>
      </c>
      <c r="H694" s="8">
        <v>14</v>
      </c>
      <c r="I694" s="14">
        <f t="shared" si="112"/>
        <v>2333</v>
      </c>
      <c r="J694" s="14">
        <f t="shared" si="113"/>
        <v>-2</v>
      </c>
      <c r="K694" s="15">
        <f t="shared" si="114"/>
        <v>7.2867552507501071E-3</v>
      </c>
      <c r="L694" s="16" t="str">
        <f t="shared" si="115"/>
        <v>Valid</v>
      </c>
      <c r="M694" s="16" t="str">
        <f t="shared" si="116"/>
        <v>Valid</v>
      </c>
      <c r="N694" s="17" t="str">
        <f t="shared" si="117"/>
        <v>Stable/Reducing</v>
      </c>
      <c r="O694" s="16">
        <f t="shared" si="118"/>
        <v>1.1666666666666667</v>
      </c>
      <c r="P694" s="14">
        <f t="shared" si="120"/>
        <v>2360.1428571428573</v>
      </c>
      <c r="Q694" s="16">
        <f t="shared" si="119"/>
        <v>2918.4580782596145</v>
      </c>
    </row>
    <row r="695" spans="1:17" x14ac:dyDescent="0.3">
      <c r="A695" s="13">
        <v>45973</v>
      </c>
      <c r="B695" s="13" t="str">
        <f t="shared" si="110"/>
        <v>November</v>
      </c>
      <c r="C695" s="13" t="str">
        <f t="shared" si="111"/>
        <v>2025-11</v>
      </c>
      <c r="D695" s="8">
        <v>14</v>
      </c>
      <c r="E695" s="8">
        <v>48</v>
      </c>
      <c r="F695" s="8">
        <v>20</v>
      </c>
      <c r="G695" s="8">
        <v>2302</v>
      </c>
      <c r="H695" s="8">
        <v>7</v>
      </c>
      <c r="I695" s="14">
        <f t="shared" si="112"/>
        <v>2350</v>
      </c>
      <c r="J695" s="14">
        <f t="shared" si="113"/>
        <v>13</v>
      </c>
      <c r="K695" s="15">
        <f t="shared" si="114"/>
        <v>-2.9787234042553193E-3</v>
      </c>
      <c r="L695" s="16" t="str">
        <f t="shared" si="115"/>
        <v>Valid</v>
      </c>
      <c r="M695" s="16" t="str">
        <f t="shared" si="116"/>
        <v>Valid</v>
      </c>
      <c r="N695" s="17" t="str">
        <f t="shared" si="117"/>
        <v>Increasing Pressure</v>
      </c>
      <c r="O695" s="16">
        <f t="shared" si="118"/>
        <v>0.35</v>
      </c>
      <c r="P695" s="14">
        <f t="shared" si="120"/>
        <v>2369.2857142857142</v>
      </c>
      <c r="Q695" s="16">
        <f t="shared" si="119"/>
        <v>2918.4580782596145</v>
      </c>
    </row>
    <row r="696" spans="1:17" x14ac:dyDescent="0.3">
      <c r="A696" s="13">
        <v>45974</v>
      </c>
      <c r="B696" s="13" t="str">
        <f t="shared" si="110"/>
        <v>November</v>
      </c>
      <c r="C696" s="13" t="str">
        <f t="shared" si="111"/>
        <v>2025-11</v>
      </c>
      <c r="D696" s="8">
        <v>6</v>
      </c>
      <c r="E696" s="8">
        <v>26</v>
      </c>
      <c r="F696" s="8">
        <v>16</v>
      </c>
      <c r="G696" s="8">
        <v>2317</v>
      </c>
      <c r="H696" s="8">
        <v>5</v>
      </c>
      <c r="I696" s="14">
        <f t="shared" si="112"/>
        <v>2343</v>
      </c>
      <c r="J696" s="14">
        <f t="shared" si="113"/>
        <v>11</v>
      </c>
      <c r="K696" s="15">
        <f t="shared" si="114"/>
        <v>8.1092616303883903E-3</v>
      </c>
      <c r="L696" s="16" t="str">
        <f t="shared" si="115"/>
        <v>Valid</v>
      </c>
      <c r="M696" s="16" t="str">
        <f t="shared" si="116"/>
        <v>Valid</v>
      </c>
      <c r="N696" s="17" t="str">
        <f t="shared" si="117"/>
        <v>Increasing Pressure</v>
      </c>
      <c r="O696" s="16">
        <f t="shared" si="118"/>
        <v>0.3125</v>
      </c>
      <c r="P696" s="14">
        <f t="shared" si="120"/>
        <v>2379.4285714285716</v>
      </c>
      <c r="Q696" s="16">
        <f t="shared" si="119"/>
        <v>2918.4580782596145</v>
      </c>
    </row>
    <row r="697" spans="1:17" x14ac:dyDescent="0.3">
      <c r="A697" s="13">
        <v>45977</v>
      </c>
      <c r="B697" s="13" t="str">
        <f t="shared" si="110"/>
        <v>November</v>
      </c>
      <c r="C697" s="13" t="str">
        <f t="shared" si="111"/>
        <v>2025-11</v>
      </c>
      <c r="D697" s="8">
        <v>5</v>
      </c>
      <c r="E697" s="8">
        <v>22</v>
      </c>
      <c r="F697" s="8">
        <v>3</v>
      </c>
      <c r="G697" s="8">
        <v>2340</v>
      </c>
      <c r="H697" s="8">
        <v>5</v>
      </c>
      <c r="I697" s="14">
        <f t="shared" si="112"/>
        <v>2362</v>
      </c>
      <c r="J697" s="14">
        <f t="shared" si="113"/>
        <v>-2</v>
      </c>
      <c r="K697" s="15">
        <f t="shared" si="114"/>
        <v>6.7739204064352241E-3</v>
      </c>
      <c r="L697" s="16" t="str">
        <f t="shared" si="115"/>
        <v>Valid</v>
      </c>
      <c r="M697" s="16" t="str">
        <f t="shared" si="116"/>
        <v>Valid</v>
      </c>
      <c r="N697" s="17" t="str">
        <f t="shared" si="117"/>
        <v>Stable/Reducing</v>
      </c>
      <c r="O697" s="16">
        <f t="shared" si="118"/>
        <v>1.6666666666666667</v>
      </c>
      <c r="P697" s="14">
        <f t="shared" si="120"/>
        <v>2389.1428571428573</v>
      </c>
      <c r="Q697" s="16">
        <f t="shared" si="119"/>
        <v>2918.4580782596145</v>
      </c>
    </row>
    <row r="698" spans="1:17" x14ac:dyDescent="0.3">
      <c r="A698" s="13">
        <v>45978</v>
      </c>
      <c r="B698" s="13" t="str">
        <f t="shared" si="110"/>
        <v>November</v>
      </c>
      <c r="C698" s="13" t="str">
        <f t="shared" si="111"/>
        <v>2025-11</v>
      </c>
      <c r="D698" s="8">
        <v>1</v>
      </c>
      <c r="E698" s="8">
        <v>35</v>
      </c>
      <c r="F698" s="8">
        <v>6</v>
      </c>
      <c r="G698" s="8">
        <v>2343</v>
      </c>
      <c r="H698" s="8">
        <v>8</v>
      </c>
      <c r="I698" s="14">
        <f t="shared" si="112"/>
        <v>2378</v>
      </c>
      <c r="J698" s="14">
        <f t="shared" si="113"/>
        <v>-2</v>
      </c>
      <c r="K698" s="15">
        <f t="shared" si="114"/>
        <v>2.1026072329688814E-3</v>
      </c>
      <c r="L698" s="16" t="str">
        <f t="shared" si="115"/>
        <v>Valid</v>
      </c>
      <c r="M698" s="16" t="str">
        <f t="shared" si="116"/>
        <v>Valid</v>
      </c>
      <c r="N698" s="17" t="str">
        <f t="shared" si="117"/>
        <v>Stable/Reducing</v>
      </c>
      <c r="O698" s="16">
        <f t="shared" si="118"/>
        <v>1.3333333333333333</v>
      </c>
      <c r="P698" s="14">
        <f t="shared" si="120"/>
        <v>2397.7142857142858</v>
      </c>
      <c r="Q698" s="16">
        <f t="shared" si="119"/>
        <v>2918.4580782596145</v>
      </c>
    </row>
    <row r="699" spans="1:17" x14ac:dyDescent="0.3">
      <c r="A699" s="13">
        <v>45979</v>
      </c>
      <c r="B699" s="13" t="str">
        <f t="shared" si="110"/>
        <v>November</v>
      </c>
      <c r="C699" s="13" t="str">
        <f t="shared" si="111"/>
        <v>2025-11</v>
      </c>
      <c r="D699" s="8">
        <v>2</v>
      </c>
      <c r="E699" s="8">
        <v>38</v>
      </c>
      <c r="F699" s="8">
        <v>8</v>
      </c>
      <c r="G699" s="8">
        <v>2345</v>
      </c>
      <c r="H699" s="8">
        <v>12</v>
      </c>
      <c r="I699" s="14">
        <f t="shared" si="112"/>
        <v>2383</v>
      </c>
      <c r="J699" s="14">
        <f t="shared" si="113"/>
        <v>-4</v>
      </c>
      <c r="K699" s="15">
        <f t="shared" si="114"/>
        <v>-4.6160302140159466E-3</v>
      </c>
      <c r="L699" s="16" t="str">
        <f t="shared" si="115"/>
        <v>Valid</v>
      </c>
      <c r="M699" s="16" t="str">
        <f t="shared" si="116"/>
        <v>Valid</v>
      </c>
      <c r="N699" s="17" t="str">
        <f t="shared" si="117"/>
        <v>Stable/Reducing</v>
      </c>
      <c r="O699" s="16">
        <f t="shared" si="118"/>
        <v>1.5</v>
      </c>
      <c r="P699" s="14">
        <f t="shared" si="120"/>
        <v>2402.7142857142858</v>
      </c>
      <c r="Q699" s="16">
        <f t="shared" si="119"/>
        <v>2918.4580782596145</v>
      </c>
    </row>
    <row r="700" spans="1:17" x14ac:dyDescent="0.3">
      <c r="A700" s="13">
        <v>45980</v>
      </c>
      <c r="B700" s="13" t="str">
        <f t="shared" si="110"/>
        <v>November</v>
      </c>
      <c r="C700" s="13" t="str">
        <f t="shared" si="111"/>
        <v>2025-11</v>
      </c>
      <c r="D700" s="8">
        <v>7</v>
      </c>
      <c r="E700" s="8">
        <v>32</v>
      </c>
      <c r="F700" s="8">
        <v>3</v>
      </c>
      <c r="G700" s="8">
        <v>2340</v>
      </c>
      <c r="H700" s="8">
        <v>10</v>
      </c>
      <c r="I700" s="14">
        <f t="shared" si="112"/>
        <v>2372</v>
      </c>
      <c r="J700" s="14">
        <f t="shared" si="113"/>
        <v>-7</v>
      </c>
      <c r="K700" s="15">
        <f t="shared" si="114"/>
        <v>1.0539629005059023E-2</v>
      </c>
      <c r="L700" s="16" t="str">
        <f t="shared" si="115"/>
        <v>Valid</v>
      </c>
      <c r="M700" s="16" t="str">
        <f t="shared" si="116"/>
        <v>Valid</v>
      </c>
      <c r="N700" s="17" t="str">
        <f t="shared" si="117"/>
        <v>Stable/Reducing</v>
      </c>
      <c r="O700" s="16">
        <f t="shared" si="118"/>
        <v>3.3333333333333335</v>
      </c>
      <c r="P700" s="14">
        <f t="shared" si="120"/>
        <v>2409.8571428571427</v>
      </c>
      <c r="Q700" s="16">
        <f t="shared" si="119"/>
        <v>2918.4580782596145</v>
      </c>
    </row>
    <row r="701" spans="1:17" x14ac:dyDescent="0.3">
      <c r="A701" s="13">
        <v>45981</v>
      </c>
      <c r="B701" s="13" t="str">
        <f t="shared" si="110"/>
        <v>November</v>
      </c>
      <c r="C701" s="13" t="str">
        <f t="shared" si="111"/>
        <v>2025-11</v>
      </c>
      <c r="D701" s="8">
        <v>18</v>
      </c>
      <c r="E701" s="8">
        <v>57</v>
      </c>
      <c r="F701" s="8">
        <v>8</v>
      </c>
      <c r="G701" s="8">
        <v>2340</v>
      </c>
      <c r="H701" s="8">
        <v>9</v>
      </c>
      <c r="I701" s="14">
        <f t="shared" si="112"/>
        <v>2397</v>
      </c>
      <c r="J701" s="14">
        <f t="shared" si="113"/>
        <v>-1</v>
      </c>
      <c r="K701" s="15">
        <f t="shared" si="114"/>
        <v>1.0012515644555695E-2</v>
      </c>
      <c r="L701" s="16" t="str">
        <f t="shared" si="115"/>
        <v>Valid</v>
      </c>
      <c r="M701" s="16" t="str">
        <f t="shared" si="116"/>
        <v>Valid</v>
      </c>
      <c r="N701" s="17" t="str">
        <f t="shared" si="117"/>
        <v>Stable/Reducing</v>
      </c>
      <c r="O701" s="16">
        <f t="shared" si="118"/>
        <v>1.125</v>
      </c>
      <c r="P701" s="14">
        <f t="shared" si="120"/>
        <v>2419</v>
      </c>
      <c r="Q701" s="16">
        <f t="shared" si="119"/>
        <v>2918.4580782596145</v>
      </c>
    </row>
    <row r="702" spans="1:17" x14ac:dyDescent="0.3">
      <c r="A702" s="13">
        <v>45984</v>
      </c>
      <c r="B702" s="13" t="str">
        <f t="shared" si="110"/>
        <v>November</v>
      </c>
      <c r="C702" s="13" t="str">
        <f t="shared" si="111"/>
        <v>2025-11</v>
      </c>
      <c r="D702" s="8">
        <v>3</v>
      </c>
      <c r="E702" s="8">
        <v>46</v>
      </c>
      <c r="F702" s="8">
        <v>22</v>
      </c>
      <c r="G702" s="8">
        <v>2375</v>
      </c>
      <c r="H702" s="8">
        <v>1</v>
      </c>
      <c r="I702" s="14">
        <f t="shared" si="112"/>
        <v>2421</v>
      </c>
      <c r="J702" s="14">
        <f t="shared" si="113"/>
        <v>21</v>
      </c>
      <c r="K702" s="15">
        <f t="shared" si="114"/>
        <v>-4.1305245766212308E-3</v>
      </c>
      <c r="L702" s="16" t="str">
        <f t="shared" si="115"/>
        <v>Valid</v>
      </c>
      <c r="M702" s="16" t="str">
        <f t="shared" si="116"/>
        <v>Valid</v>
      </c>
      <c r="N702" s="17" t="str">
        <f t="shared" si="117"/>
        <v>Increasing Pressure</v>
      </c>
      <c r="O702" s="16">
        <f t="shared" si="118"/>
        <v>4.5454545454545456E-2</v>
      </c>
      <c r="P702" s="14">
        <f t="shared" si="120"/>
        <v>2425.2857142857142</v>
      </c>
      <c r="Q702" s="16">
        <f t="shared" si="119"/>
        <v>2918.4580782596145</v>
      </c>
    </row>
    <row r="703" spans="1:17" x14ac:dyDescent="0.3">
      <c r="A703" s="13">
        <v>45985</v>
      </c>
      <c r="B703" s="13" t="str">
        <f t="shared" si="110"/>
        <v>November</v>
      </c>
      <c r="C703" s="13" t="str">
        <f t="shared" si="111"/>
        <v>2025-11</v>
      </c>
      <c r="D703" s="8">
        <v>9</v>
      </c>
      <c r="E703" s="8">
        <v>40</v>
      </c>
      <c r="F703" s="8">
        <v>9</v>
      </c>
      <c r="G703" s="8">
        <v>2371</v>
      </c>
      <c r="H703" s="8">
        <v>13</v>
      </c>
      <c r="I703" s="14">
        <f t="shared" si="112"/>
        <v>2411</v>
      </c>
      <c r="J703" s="14">
        <f t="shared" si="113"/>
        <v>-4</v>
      </c>
      <c r="K703" s="15">
        <f t="shared" si="114"/>
        <v>4.5624222314392367E-3</v>
      </c>
      <c r="L703" s="16" t="str">
        <f t="shared" si="115"/>
        <v>Valid</v>
      </c>
      <c r="M703" s="16" t="str">
        <f t="shared" si="116"/>
        <v>Valid</v>
      </c>
      <c r="N703" s="17" t="str">
        <f t="shared" si="117"/>
        <v>Stable/Reducing</v>
      </c>
      <c r="O703" s="16">
        <f t="shared" si="118"/>
        <v>1.4444444444444444</v>
      </c>
      <c r="P703" s="14">
        <f t="shared" si="120"/>
        <v>2429.5714285714284</v>
      </c>
      <c r="Q703" s="16">
        <f t="shared" si="119"/>
        <v>2918.4580782596145</v>
      </c>
    </row>
    <row r="704" spans="1:17" x14ac:dyDescent="0.3">
      <c r="A704" s="13">
        <v>45986</v>
      </c>
      <c r="B704" s="13" t="str">
        <f t="shared" si="110"/>
        <v>November</v>
      </c>
      <c r="C704" s="13" t="str">
        <f t="shared" si="111"/>
        <v>2025-11</v>
      </c>
      <c r="D704" s="8">
        <v>6</v>
      </c>
      <c r="E704" s="8">
        <v>47</v>
      </c>
      <c r="F704" s="8">
        <v>14</v>
      </c>
      <c r="G704" s="8">
        <v>2375</v>
      </c>
      <c r="H704" s="8">
        <v>11</v>
      </c>
      <c r="I704" s="14">
        <f t="shared" si="112"/>
        <v>2422</v>
      </c>
      <c r="J704" s="14">
        <f t="shared" si="113"/>
        <v>3</v>
      </c>
      <c r="K704" s="15">
        <f t="shared" si="114"/>
        <v>-3.7159372419488025E-3</v>
      </c>
      <c r="L704" s="16" t="str">
        <f t="shared" si="115"/>
        <v>Valid</v>
      </c>
      <c r="M704" s="16" t="str">
        <f t="shared" si="116"/>
        <v>Valid</v>
      </c>
      <c r="N704" s="17" t="str">
        <f t="shared" si="117"/>
        <v>Increasing Pressure</v>
      </c>
      <c r="O704" s="16">
        <f t="shared" si="118"/>
        <v>0.7857142857142857</v>
      </c>
      <c r="P704" s="14">
        <f t="shared" si="120"/>
        <v>2436.1428571428573</v>
      </c>
      <c r="Q704" s="16">
        <f t="shared" si="119"/>
        <v>2918.4580782596145</v>
      </c>
    </row>
    <row r="705" spans="1:17" x14ac:dyDescent="0.3">
      <c r="A705" s="13">
        <v>45988</v>
      </c>
      <c r="B705" s="13" t="str">
        <f t="shared" si="110"/>
        <v>November</v>
      </c>
      <c r="C705" s="13" t="str">
        <f t="shared" si="111"/>
        <v>2025-11</v>
      </c>
      <c r="D705" s="8">
        <v>4</v>
      </c>
      <c r="E705" s="8">
        <v>24</v>
      </c>
      <c r="F705" s="8">
        <v>8</v>
      </c>
      <c r="G705" s="8">
        <v>2389</v>
      </c>
      <c r="H705" s="8">
        <v>7</v>
      </c>
      <c r="I705" s="14">
        <f t="shared" si="112"/>
        <v>2413</v>
      </c>
      <c r="J705" s="14">
        <f t="shared" si="113"/>
        <v>1</v>
      </c>
      <c r="K705" s="15">
        <f t="shared" si="114"/>
        <v>8.2884376295068382E-3</v>
      </c>
      <c r="L705" s="16" t="str">
        <f t="shared" si="115"/>
        <v>Valid</v>
      </c>
      <c r="M705" s="16" t="str">
        <f t="shared" si="116"/>
        <v>Valid</v>
      </c>
      <c r="N705" s="17" t="str">
        <f t="shared" si="117"/>
        <v>Increasing Pressure</v>
      </c>
      <c r="O705" s="16">
        <f t="shared" si="118"/>
        <v>0.875</v>
      </c>
      <c r="P705" s="14">
        <f t="shared" si="120"/>
        <v>2440.5714285714284</v>
      </c>
      <c r="Q705" s="16">
        <f t="shared" si="119"/>
        <v>2918.4580782596145</v>
      </c>
    </row>
    <row r="706" spans="1:17" x14ac:dyDescent="0.3">
      <c r="A706" s="13">
        <v>45991</v>
      </c>
      <c r="B706" s="13" t="str">
        <f t="shared" ref="B706:B769" si="121">TEXT(A706, "mmmm")</f>
        <v>November</v>
      </c>
      <c r="C706" s="13" t="str">
        <f t="shared" ref="C706:C721" si="122">TEXT(A706, "yyyy-mm")</f>
        <v>2025-11</v>
      </c>
      <c r="D706" s="8">
        <v>4</v>
      </c>
      <c r="E706" s="8">
        <v>18</v>
      </c>
      <c r="F706" s="8">
        <v>10</v>
      </c>
      <c r="G706" s="8">
        <v>2415</v>
      </c>
      <c r="H706" s="8">
        <v>0</v>
      </c>
      <c r="I706" s="14">
        <f t="shared" ref="I706:I721" si="123">SUM(G706+E706)</f>
        <v>2433</v>
      </c>
      <c r="J706" s="14">
        <f t="shared" ref="J706:J721" si="124">F706-H706</f>
        <v>10</v>
      </c>
      <c r="K706" s="15">
        <f t="shared" ref="K706:K721" si="125">(I707-I706)/I706</f>
        <v>1.2330456226880395E-3</v>
      </c>
      <c r="L706" s="16" t="str">
        <f t="shared" ref="L706:L721" si="126">IF(F706&lt;=E706, "Valid", "Invalid")</f>
        <v>Valid</v>
      </c>
      <c r="M706" s="16" t="str">
        <f t="shared" ref="M706:M721" si="127">IF(H706&lt;=G706, "Valid", "Invalid")</f>
        <v>Valid</v>
      </c>
      <c r="N706" s="17" t="str">
        <f t="shared" ref="N706:N721" si="128">IF(J706&gt;0, "Increasing Pressure", "Stable/Reducing")</f>
        <v>Increasing Pressure</v>
      </c>
      <c r="O706" s="16">
        <f t="shared" ref="O706:O721" si="129">IFERROR(H706/F706, 0)</f>
        <v>0</v>
      </c>
      <c r="P706" s="14">
        <f t="shared" si="120"/>
        <v>2448.2857142857142</v>
      </c>
      <c r="Q706" s="16">
        <f t="shared" ref="Q706:Q721" si="130">_xlfn.STDEV.S(I:I)</f>
        <v>2918.4580782596145</v>
      </c>
    </row>
    <row r="707" spans="1:17" x14ac:dyDescent="0.3">
      <c r="A707" s="13">
        <v>45992</v>
      </c>
      <c r="B707" s="13" t="str">
        <f t="shared" si="121"/>
        <v>December</v>
      </c>
      <c r="C707" s="13" t="str">
        <f t="shared" si="122"/>
        <v>2025-12</v>
      </c>
      <c r="D707" s="8">
        <v>4</v>
      </c>
      <c r="E707" s="8">
        <v>26</v>
      </c>
      <c r="F707" s="8">
        <v>4</v>
      </c>
      <c r="G707" s="8">
        <v>2410</v>
      </c>
      <c r="H707" s="8">
        <v>9</v>
      </c>
      <c r="I707" s="14">
        <f t="shared" si="123"/>
        <v>2436</v>
      </c>
      <c r="J707" s="14">
        <f t="shared" si="124"/>
        <v>-5</v>
      </c>
      <c r="K707" s="15">
        <f t="shared" si="125"/>
        <v>2.052545155993432E-3</v>
      </c>
      <c r="L707" s="16" t="str">
        <f t="shared" si="126"/>
        <v>Valid</v>
      </c>
      <c r="M707" s="16" t="str">
        <f t="shared" si="127"/>
        <v>Valid</v>
      </c>
      <c r="N707" s="17" t="str">
        <f t="shared" si="128"/>
        <v>Stable/Reducing</v>
      </c>
      <c r="O707" s="16">
        <f t="shared" si="129"/>
        <v>2.25</v>
      </c>
      <c r="P707" s="14">
        <f t="shared" ref="P707:P770" si="131">AVERAGE(I707:I713)</f>
        <v>2454</v>
      </c>
      <c r="Q707" s="16">
        <f t="shared" si="130"/>
        <v>2918.4580782596145</v>
      </c>
    </row>
    <row r="708" spans="1:17" x14ac:dyDescent="0.3">
      <c r="A708" s="13">
        <v>45993</v>
      </c>
      <c r="B708" s="13" t="str">
        <f t="shared" si="121"/>
        <v>December</v>
      </c>
      <c r="C708" s="13" t="str">
        <f t="shared" si="122"/>
        <v>2025-12</v>
      </c>
      <c r="D708" s="8">
        <v>7</v>
      </c>
      <c r="E708" s="8">
        <v>34</v>
      </c>
      <c r="F708" s="8">
        <v>6</v>
      </c>
      <c r="G708" s="8">
        <v>2407</v>
      </c>
      <c r="H708" s="8">
        <v>8</v>
      </c>
      <c r="I708" s="14">
        <f t="shared" si="123"/>
        <v>2441</v>
      </c>
      <c r="J708" s="14">
        <f t="shared" si="124"/>
        <v>-2</v>
      </c>
      <c r="K708" s="15">
        <f t="shared" si="125"/>
        <v>4.0966816878328554E-3</v>
      </c>
      <c r="L708" s="16" t="str">
        <f t="shared" si="126"/>
        <v>Valid</v>
      </c>
      <c r="M708" s="16" t="str">
        <f t="shared" si="127"/>
        <v>Valid</v>
      </c>
      <c r="N708" s="17" t="str">
        <f t="shared" si="128"/>
        <v>Stable/Reducing</v>
      </c>
      <c r="O708" s="16">
        <f t="shared" si="129"/>
        <v>1.3333333333333333</v>
      </c>
      <c r="P708" s="14">
        <f t="shared" si="131"/>
        <v>2462.1428571428573</v>
      </c>
      <c r="Q708" s="16">
        <f t="shared" si="130"/>
        <v>2918.4580782596145</v>
      </c>
    </row>
    <row r="709" spans="1:17" x14ac:dyDescent="0.3">
      <c r="A709" s="13">
        <v>45994</v>
      </c>
      <c r="B709" s="13" t="str">
        <f t="shared" si="121"/>
        <v>December</v>
      </c>
      <c r="C709" s="13" t="str">
        <f t="shared" si="122"/>
        <v>2025-12</v>
      </c>
      <c r="D709" s="8">
        <v>4</v>
      </c>
      <c r="E709" s="8">
        <v>32</v>
      </c>
      <c r="F709" s="8">
        <v>8</v>
      </c>
      <c r="G709" s="8">
        <v>2419</v>
      </c>
      <c r="H709" s="8">
        <v>7</v>
      </c>
      <c r="I709" s="14">
        <f t="shared" si="123"/>
        <v>2451</v>
      </c>
      <c r="J709" s="14">
        <f t="shared" si="124"/>
        <v>1</v>
      </c>
      <c r="K709" s="15">
        <f t="shared" si="125"/>
        <v>2.4479804161566705E-3</v>
      </c>
      <c r="L709" s="16" t="str">
        <f t="shared" si="126"/>
        <v>Valid</v>
      </c>
      <c r="M709" s="16" t="str">
        <f t="shared" si="127"/>
        <v>Valid</v>
      </c>
      <c r="N709" s="17" t="str">
        <f t="shared" si="128"/>
        <v>Increasing Pressure</v>
      </c>
      <c r="O709" s="16">
        <f t="shared" si="129"/>
        <v>0.875</v>
      </c>
      <c r="P709" s="14">
        <f t="shared" si="131"/>
        <v>2468.2857142857142</v>
      </c>
      <c r="Q709" s="16">
        <f t="shared" si="130"/>
        <v>2918.4580782596145</v>
      </c>
    </row>
    <row r="710" spans="1:17" x14ac:dyDescent="0.3">
      <c r="A710" s="13">
        <v>45995</v>
      </c>
      <c r="B710" s="13" t="str">
        <f t="shared" si="121"/>
        <v>December</v>
      </c>
      <c r="C710" s="13" t="str">
        <f t="shared" si="122"/>
        <v>2025-12</v>
      </c>
      <c r="D710" s="8">
        <v>16</v>
      </c>
      <c r="E710" s="8">
        <v>39</v>
      </c>
      <c r="F710" s="8">
        <v>7</v>
      </c>
      <c r="G710" s="8">
        <v>2418</v>
      </c>
      <c r="H710" s="8">
        <v>13</v>
      </c>
      <c r="I710" s="14">
        <f t="shared" si="123"/>
        <v>2457</v>
      </c>
      <c r="J710" s="14">
        <f t="shared" si="124"/>
        <v>-6</v>
      </c>
      <c r="K710" s="15">
        <f t="shared" si="125"/>
        <v>-1.6280016280016279E-3</v>
      </c>
      <c r="L710" s="16" t="str">
        <f t="shared" si="126"/>
        <v>Valid</v>
      </c>
      <c r="M710" s="16" t="str">
        <f t="shared" si="127"/>
        <v>Valid</v>
      </c>
      <c r="N710" s="17" t="str">
        <f t="shared" si="128"/>
        <v>Stable/Reducing</v>
      </c>
      <c r="O710" s="16">
        <f t="shared" si="129"/>
        <v>1.8571428571428572</v>
      </c>
      <c r="P710" s="14">
        <f t="shared" si="131"/>
        <v>2474.8571428571427</v>
      </c>
      <c r="Q710" s="16">
        <f t="shared" si="130"/>
        <v>2918.4580782596145</v>
      </c>
    </row>
    <row r="711" spans="1:17" x14ac:dyDescent="0.3">
      <c r="A711" s="13">
        <v>45998</v>
      </c>
      <c r="B711" s="13" t="str">
        <f t="shared" si="121"/>
        <v>December</v>
      </c>
      <c r="C711" s="13" t="str">
        <f t="shared" si="122"/>
        <v>2025-12</v>
      </c>
      <c r="D711" s="8">
        <v>4</v>
      </c>
      <c r="E711" s="8">
        <v>24</v>
      </c>
      <c r="F711" s="8">
        <v>13</v>
      </c>
      <c r="G711" s="8">
        <v>2429</v>
      </c>
      <c r="H711" s="8">
        <v>12</v>
      </c>
      <c r="I711" s="14">
        <f t="shared" si="123"/>
        <v>2453</v>
      </c>
      <c r="J711" s="14">
        <f t="shared" si="124"/>
        <v>1</v>
      </c>
      <c r="K711" s="15">
        <f t="shared" si="125"/>
        <v>5.7072971871178152E-3</v>
      </c>
      <c r="L711" s="16" t="str">
        <f t="shared" si="126"/>
        <v>Valid</v>
      </c>
      <c r="M711" s="16" t="str">
        <f t="shared" si="127"/>
        <v>Valid</v>
      </c>
      <c r="N711" s="17" t="str">
        <f t="shared" si="128"/>
        <v>Increasing Pressure</v>
      </c>
      <c r="O711" s="16">
        <f t="shared" si="129"/>
        <v>0.92307692307692313</v>
      </c>
      <c r="P711" s="14">
        <f t="shared" si="131"/>
        <v>2482.7142857142858</v>
      </c>
      <c r="Q711" s="16">
        <f t="shared" si="130"/>
        <v>2918.4580782596145</v>
      </c>
    </row>
    <row r="712" spans="1:17" x14ac:dyDescent="0.3">
      <c r="A712" s="13">
        <v>45999</v>
      </c>
      <c r="B712" s="13" t="str">
        <f t="shared" si="121"/>
        <v>December</v>
      </c>
      <c r="C712" s="13" t="str">
        <f t="shared" si="122"/>
        <v>2025-12</v>
      </c>
      <c r="D712" s="8">
        <v>9</v>
      </c>
      <c r="E712" s="8">
        <v>27</v>
      </c>
      <c r="F712" s="8">
        <v>9</v>
      </c>
      <c r="G712" s="8">
        <v>2440</v>
      </c>
      <c r="H712" s="8">
        <v>4</v>
      </c>
      <c r="I712" s="14">
        <f t="shared" si="123"/>
        <v>2467</v>
      </c>
      <c r="J712" s="14">
        <f t="shared" si="124"/>
        <v>5</v>
      </c>
      <c r="K712" s="15">
        <f t="shared" si="125"/>
        <v>2.4321037697608433E-3</v>
      </c>
      <c r="L712" s="16" t="str">
        <f t="shared" si="126"/>
        <v>Valid</v>
      </c>
      <c r="M712" s="16" t="str">
        <f t="shared" si="127"/>
        <v>Valid</v>
      </c>
      <c r="N712" s="17" t="str">
        <f t="shared" si="128"/>
        <v>Increasing Pressure</v>
      </c>
      <c r="O712" s="16">
        <f t="shared" si="129"/>
        <v>0.44444444444444442</v>
      </c>
      <c r="P712" s="14">
        <f t="shared" si="131"/>
        <v>2492.5714285714284</v>
      </c>
      <c r="Q712" s="16">
        <f t="shared" si="130"/>
        <v>2918.4580782596145</v>
      </c>
    </row>
    <row r="713" spans="1:17" x14ac:dyDescent="0.3">
      <c r="A713" s="13">
        <v>46000</v>
      </c>
      <c r="B713" s="13" t="str">
        <f t="shared" si="121"/>
        <v>December</v>
      </c>
      <c r="C713" s="13" t="str">
        <f t="shared" si="122"/>
        <v>2025-12</v>
      </c>
      <c r="D713" s="8">
        <v>4</v>
      </c>
      <c r="E713" s="8">
        <v>30</v>
      </c>
      <c r="F713" s="8">
        <v>7</v>
      </c>
      <c r="G713" s="8">
        <v>2443</v>
      </c>
      <c r="H713" s="8">
        <v>8</v>
      </c>
      <c r="I713" s="14">
        <f t="shared" si="123"/>
        <v>2473</v>
      </c>
      <c r="J713" s="14">
        <f t="shared" si="124"/>
        <v>-1</v>
      </c>
      <c r="K713" s="15">
        <f t="shared" si="125"/>
        <v>8.087343307723413E-3</v>
      </c>
      <c r="L713" s="16" t="str">
        <f t="shared" si="126"/>
        <v>Valid</v>
      </c>
      <c r="M713" s="16" t="str">
        <f t="shared" si="127"/>
        <v>Valid</v>
      </c>
      <c r="N713" s="17" t="str">
        <f t="shared" si="128"/>
        <v>Stable/Reducing</v>
      </c>
      <c r="O713" s="16">
        <f t="shared" si="129"/>
        <v>1.1428571428571428</v>
      </c>
      <c r="P713" s="14">
        <f t="shared" si="131"/>
        <v>2499</v>
      </c>
      <c r="Q713" s="16">
        <f t="shared" si="130"/>
        <v>2918.4580782596145</v>
      </c>
    </row>
    <row r="714" spans="1:17" x14ac:dyDescent="0.3">
      <c r="A714" s="13">
        <v>46001</v>
      </c>
      <c r="B714" s="13" t="str">
        <f t="shared" si="121"/>
        <v>December</v>
      </c>
      <c r="C714" s="13" t="str">
        <f t="shared" si="122"/>
        <v>2025-12</v>
      </c>
      <c r="D714" s="8">
        <v>10</v>
      </c>
      <c r="E714" s="8">
        <v>54</v>
      </c>
      <c r="F714" s="8">
        <v>5</v>
      </c>
      <c r="G714" s="8">
        <v>2439</v>
      </c>
      <c r="H714" s="8">
        <v>9</v>
      </c>
      <c r="I714" s="14">
        <f t="shared" si="123"/>
        <v>2493</v>
      </c>
      <c r="J714" s="14">
        <f t="shared" si="124"/>
        <v>-4</v>
      </c>
      <c r="K714" s="15">
        <f t="shared" si="125"/>
        <v>-3.6101083032490976E-3</v>
      </c>
      <c r="L714" s="16" t="str">
        <f t="shared" si="126"/>
        <v>Valid</v>
      </c>
      <c r="M714" s="16" t="str">
        <f t="shared" si="127"/>
        <v>Valid</v>
      </c>
      <c r="N714" s="17" t="str">
        <f t="shared" si="128"/>
        <v>Stable/Reducing</v>
      </c>
      <c r="O714" s="16">
        <f t="shared" si="129"/>
        <v>1.8</v>
      </c>
      <c r="P714" s="14">
        <f t="shared" si="131"/>
        <v>2506</v>
      </c>
      <c r="Q714" s="16">
        <f t="shared" si="130"/>
        <v>2918.4580782596145</v>
      </c>
    </row>
    <row r="715" spans="1:17" x14ac:dyDescent="0.3">
      <c r="A715" s="13">
        <v>46002</v>
      </c>
      <c r="B715" s="13" t="str">
        <f t="shared" si="121"/>
        <v>December</v>
      </c>
      <c r="C715" s="13" t="str">
        <f t="shared" si="122"/>
        <v>2025-12</v>
      </c>
      <c r="D715" s="8">
        <v>7</v>
      </c>
      <c r="E715" s="8">
        <v>47</v>
      </c>
      <c r="F715" s="8">
        <v>9</v>
      </c>
      <c r="G715" s="8">
        <v>2437</v>
      </c>
      <c r="H715" s="8">
        <v>10</v>
      </c>
      <c r="I715" s="14">
        <f t="shared" si="123"/>
        <v>2484</v>
      </c>
      <c r="J715" s="14">
        <f t="shared" si="124"/>
        <v>-1</v>
      </c>
      <c r="K715" s="15">
        <f t="shared" si="125"/>
        <v>5.2334943639291464E-3</v>
      </c>
      <c r="L715" s="16" t="str">
        <f t="shared" si="126"/>
        <v>Valid</v>
      </c>
      <c r="M715" s="16" t="str">
        <f t="shared" si="127"/>
        <v>Valid</v>
      </c>
      <c r="N715" s="17" t="str">
        <f t="shared" si="128"/>
        <v>Stable/Reducing</v>
      </c>
      <c r="O715" s="16">
        <f t="shared" si="129"/>
        <v>1.1111111111111112</v>
      </c>
      <c r="P715" s="14">
        <f t="shared" si="131"/>
        <v>2507.2857142857142</v>
      </c>
      <c r="Q715" s="16">
        <f t="shared" si="130"/>
        <v>2918.4580782596145</v>
      </c>
    </row>
    <row r="716" spans="1:17" x14ac:dyDescent="0.3">
      <c r="A716" s="13">
        <v>46005</v>
      </c>
      <c r="B716" s="13" t="str">
        <f t="shared" si="121"/>
        <v>December</v>
      </c>
      <c r="C716" s="13" t="str">
        <f t="shared" si="122"/>
        <v>2025-12</v>
      </c>
      <c r="D716" s="8">
        <v>8</v>
      </c>
      <c r="E716" s="8">
        <v>35</v>
      </c>
      <c r="F716" s="8">
        <v>4</v>
      </c>
      <c r="G716" s="8">
        <v>2462</v>
      </c>
      <c r="H716" s="8">
        <v>8</v>
      </c>
      <c r="I716" s="14">
        <f t="shared" si="123"/>
        <v>2497</v>
      </c>
      <c r="J716" s="14">
        <f t="shared" si="124"/>
        <v>-4</v>
      </c>
      <c r="K716" s="15">
        <f t="shared" si="125"/>
        <v>6.0072086503804569E-3</v>
      </c>
      <c r="L716" s="16" t="str">
        <f t="shared" si="126"/>
        <v>Valid</v>
      </c>
      <c r="M716" s="16" t="str">
        <f t="shared" si="127"/>
        <v>Valid</v>
      </c>
      <c r="N716" s="17" t="str">
        <f t="shared" si="128"/>
        <v>Stable/Reducing</v>
      </c>
      <c r="O716" s="16">
        <f t="shared" si="129"/>
        <v>2</v>
      </c>
      <c r="P716" s="14">
        <f t="shared" si="131"/>
        <v>2511.1666666666665</v>
      </c>
      <c r="Q716" s="16">
        <f t="shared" si="130"/>
        <v>2918.4580782596145</v>
      </c>
    </row>
    <row r="717" spans="1:17" x14ac:dyDescent="0.3">
      <c r="A717" s="13">
        <v>46006</v>
      </c>
      <c r="B717" s="13" t="str">
        <f t="shared" si="121"/>
        <v>December</v>
      </c>
      <c r="C717" s="13" t="str">
        <f t="shared" si="122"/>
        <v>2025-12</v>
      </c>
      <c r="D717" s="8">
        <v>11</v>
      </c>
      <c r="E717" s="8">
        <v>42</v>
      </c>
      <c r="F717" s="8">
        <v>9</v>
      </c>
      <c r="G717" s="8">
        <v>2470</v>
      </c>
      <c r="H717" s="8">
        <v>7</v>
      </c>
      <c r="I717" s="14">
        <f t="shared" si="123"/>
        <v>2512</v>
      </c>
      <c r="J717" s="14">
        <f t="shared" si="124"/>
        <v>2</v>
      </c>
      <c r="K717" s="15">
        <f t="shared" si="125"/>
        <v>3.9808917197452229E-3</v>
      </c>
      <c r="L717" s="16" t="str">
        <f t="shared" si="126"/>
        <v>Valid</v>
      </c>
      <c r="M717" s="16" t="str">
        <f t="shared" si="127"/>
        <v>Valid</v>
      </c>
      <c r="N717" s="17" t="str">
        <f t="shared" si="128"/>
        <v>Increasing Pressure</v>
      </c>
      <c r="O717" s="16">
        <f t="shared" si="129"/>
        <v>0.77777777777777779</v>
      </c>
      <c r="P717" s="14">
        <f t="shared" si="131"/>
        <v>2514</v>
      </c>
      <c r="Q717" s="16">
        <f t="shared" si="130"/>
        <v>2918.4580782596145</v>
      </c>
    </row>
    <row r="718" spans="1:17" x14ac:dyDescent="0.3">
      <c r="A718" s="13">
        <v>46007</v>
      </c>
      <c r="B718" s="13" t="str">
        <f t="shared" si="121"/>
        <v>December</v>
      </c>
      <c r="C718" s="13" t="str">
        <f t="shared" si="122"/>
        <v>2025-12</v>
      </c>
      <c r="D718" s="8">
        <v>8</v>
      </c>
      <c r="E718" s="8">
        <v>54</v>
      </c>
      <c r="F718" s="8">
        <v>15</v>
      </c>
      <c r="G718" s="8">
        <v>2468</v>
      </c>
      <c r="H718" s="8">
        <v>9</v>
      </c>
      <c r="I718" s="14">
        <f t="shared" si="123"/>
        <v>2522</v>
      </c>
      <c r="J718" s="14">
        <f t="shared" si="124"/>
        <v>6</v>
      </c>
      <c r="K718" s="15">
        <f t="shared" si="125"/>
        <v>-3.9651070578905628E-3</v>
      </c>
      <c r="L718" s="16" t="str">
        <f t="shared" si="126"/>
        <v>Valid</v>
      </c>
      <c r="M718" s="16" t="str">
        <f t="shared" si="127"/>
        <v>Valid</v>
      </c>
      <c r="N718" s="17" t="str">
        <f t="shared" si="128"/>
        <v>Increasing Pressure</v>
      </c>
      <c r="O718" s="16">
        <f t="shared" si="129"/>
        <v>0.6</v>
      </c>
      <c r="P718" s="14">
        <f t="shared" si="131"/>
        <v>2514.5</v>
      </c>
      <c r="Q718" s="16">
        <f t="shared" si="130"/>
        <v>2918.4580782596145</v>
      </c>
    </row>
    <row r="719" spans="1:17" x14ac:dyDescent="0.3">
      <c r="A719" s="13">
        <v>46008</v>
      </c>
      <c r="B719" s="13" t="str">
        <f t="shared" si="121"/>
        <v>December</v>
      </c>
      <c r="C719" s="13" t="str">
        <f t="shared" si="122"/>
        <v>2025-12</v>
      </c>
      <c r="D719" s="8">
        <v>7</v>
      </c>
      <c r="E719" s="8">
        <v>31</v>
      </c>
      <c r="F719" s="8">
        <v>11</v>
      </c>
      <c r="G719" s="8">
        <v>2481</v>
      </c>
      <c r="H719" s="8">
        <v>10</v>
      </c>
      <c r="I719" s="14">
        <f t="shared" si="123"/>
        <v>2512</v>
      </c>
      <c r="J719" s="14">
        <f t="shared" si="124"/>
        <v>1</v>
      </c>
      <c r="K719" s="15">
        <f t="shared" si="125"/>
        <v>3.9808917197452229E-3</v>
      </c>
      <c r="L719" s="16" t="str">
        <f t="shared" si="126"/>
        <v>Valid</v>
      </c>
      <c r="M719" s="16" t="str">
        <f t="shared" si="127"/>
        <v>Valid</v>
      </c>
      <c r="N719" s="17" t="str">
        <f t="shared" si="128"/>
        <v>Increasing Pressure</v>
      </c>
      <c r="O719" s="16">
        <f t="shared" si="129"/>
        <v>0.90909090909090906</v>
      </c>
      <c r="P719" s="14">
        <f t="shared" si="131"/>
        <v>2512</v>
      </c>
      <c r="Q719" s="16">
        <f t="shared" si="130"/>
        <v>2918.4580782596145</v>
      </c>
    </row>
    <row r="720" spans="1:17" x14ac:dyDescent="0.3">
      <c r="A720" s="13">
        <v>46009</v>
      </c>
      <c r="B720" s="13" t="str">
        <f t="shared" si="121"/>
        <v>December</v>
      </c>
      <c r="C720" s="13" t="str">
        <f t="shared" si="122"/>
        <v>2025-12</v>
      </c>
      <c r="D720" s="8">
        <v>11</v>
      </c>
      <c r="E720" s="8">
        <v>50</v>
      </c>
      <c r="F720" s="8">
        <v>6</v>
      </c>
      <c r="G720" s="8">
        <v>2472</v>
      </c>
      <c r="H720" s="8">
        <v>16</v>
      </c>
      <c r="I720" s="14">
        <f t="shared" si="123"/>
        <v>2522</v>
      </c>
      <c r="J720" s="14">
        <f t="shared" si="124"/>
        <v>-10</v>
      </c>
      <c r="K720" s="15">
        <f t="shared" si="125"/>
        <v>-7.9302141157811257E-3</v>
      </c>
      <c r="L720" s="16" t="str">
        <f t="shared" si="126"/>
        <v>Valid</v>
      </c>
      <c r="M720" s="16" t="str">
        <f t="shared" si="127"/>
        <v>Valid</v>
      </c>
      <c r="N720" s="17" t="str">
        <f t="shared" si="128"/>
        <v>Stable/Reducing</v>
      </c>
      <c r="O720" s="16">
        <f t="shared" si="129"/>
        <v>2.6666666666666665</v>
      </c>
      <c r="P720" s="14">
        <f t="shared" si="131"/>
        <v>2512</v>
      </c>
      <c r="Q720" s="16">
        <f t="shared" si="130"/>
        <v>2918.4580782596145</v>
      </c>
    </row>
    <row r="721" spans="1:17" x14ac:dyDescent="0.3">
      <c r="A721" s="13">
        <v>46012</v>
      </c>
      <c r="B721" s="13" t="str">
        <f t="shared" si="121"/>
        <v>December</v>
      </c>
      <c r="C721" s="13" t="str">
        <f t="shared" si="122"/>
        <v>2025-12</v>
      </c>
      <c r="D721" s="8">
        <v>6</v>
      </c>
      <c r="E721" s="8">
        <v>18</v>
      </c>
      <c r="F721" s="8">
        <v>11</v>
      </c>
      <c r="G721" s="8">
        <v>2484</v>
      </c>
      <c r="H721" s="8">
        <v>14</v>
      </c>
      <c r="I721" s="14">
        <f t="shared" si="123"/>
        <v>2502</v>
      </c>
      <c r="J721" s="14">
        <f t="shared" si="124"/>
        <v>-3</v>
      </c>
      <c r="K721" s="15">
        <f t="shared" si="125"/>
        <v>-1</v>
      </c>
      <c r="L721" s="16" t="str">
        <f t="shared" si="126"/>
        <v>Valid</v>
      </c>
      <c r="M721" s="16" t="str">
        <f t="shared" si="127"/>
        <v>Valid</v>
      </c>
      <c r="N721" s="17" t="str">
        <f t="shared" si="128"/>
        <v>Stable/Reducing</v>
      </c>
      <c r="O721" s="16">
        <f t="shared" si="129"/>
        <v>1.2727272727272727</v>
      </c>
      <c r="P721" s="14">
        <f t="shared" si="131"/>
        <v>2502</v>
      </c>
      <c r="Q721" s="16">
        <f t="shared" si="130"/>
        <v>2918.4580782596145</v>
      </c>
    </row>
    <row r="722" spans="1:17" x14ac:dyDescent="0.3">
      <c r="A722" s="18"/>
      <c r="B722" s="18"/>
      <c r="C722" s="18"/>
      <c r="I722" s="19"/>
      <c r="J722" s="19"/>
      <c r="P722" s="19"/>
    </row>
    <row r="723" spans="1:17" x14ac:dyDescent="0.3">
      <c r="A723" s="18"/>
      <c r="B723" s="18"/>
      <c r="C723" s="18"/>
      <c r="I723" s="19"/>
      <c r="J723" s="19"/>
      <c r="P723" s="19"/>
    </row>
    <row r="724" spans="1:17" x14ac:dyDescent="0.3">
      <c r="A724" s="18"/>
      <c r="B724" s="18"/>
      <c r="C724" s="18"/>
      <c r="I724" s="19"/>
      <c r="J724" s="19"/>
      <c r="P724" s="19"/>
    </row>
    <row r="725" spans="1:17" x14ac:dyDescent="0.3">
      <c r="A725" s="18"/>
      <c r="B725" s="18"/>
      <c r="C725" s="18"/>
      <c r="I725" s="19"/>
      <c r="J725" s="19"/>
      <c r="P725" s="19"/>
    </row>
    <row r="726" spans="1:17" x14ac:dyDescent="0.3">
      <c r="A726" s="18"/>
      <c r="B726" s="18"/>
      <c r="C726" s="18"/>
      <c r="I726" s="19"/>
      <c r="J726" s="19"/>
      <c r="P726" s="19"/>
    </row>
    <row r="727" spans="1:17" x14ac:dyDescent="0.3">
      <c r="A727" s="18"/>
      <c r="B727" s="18"/>
      <c r="C727" s="18"/>
      <c r="I727" s="19"/>
      <c r="J727" s="19"/>
      <c r="P727" s="19"/>
    </row>
    <row r="728" spans="1:17" x14ac:dyDescent="0.3">
      <c r="A728" s="18"/>
      <c r="B728" s="18"/>
      <c r="C728" s="18"/>
      <c r="I728" s="19"/>
      <c r="J728" s="19"/>
      <c r="P728" s="19"/>
    </row>
    <row r="729" spans="1:17" x14ac:dyDescent="0.3">
      <c r="A729" s="18"/>
      <c r="B729" s="18"/>
      <c r="C729" s="18"/>
      <c r="I729" s="19"/>
      <c r="J729" s="19"/>
      <c r="P729" s="19"/>
    </row>
    <row r="730" spans="1:17" x14ac:dyDescent="0.3">
      <c r="A730" s="18"/>
      <c r="B730" s="18"/>
      <c r="C730" s="18"/>
      <c r="I730" s="19"/>
      <c r="J730" s="19"/>
      <c r="P730" s="19"/>
    </row>
    <row r="731" spans="1:17" x14ac:dyDescent="0.3">
      <c r="A731" s="18"/>
      <c r="B731" s="18"/>
      <c r="C731" s="18"/>
      <c r="I731" s="19"/>
      <c r="J731" s="19"/>
      <c r="P731" s="19"/>
    </row>
    <row r="732" spans="1:17" x14ac:dyDescent="0.3">
      <c r="A732" s="18"/>
      <c r="B732" s="18"/>
      <c r="C732" s="18"/>
      <c r="I732" s="19"/>
      <c r="J732" s="19"/>
      <c r="P732" s="19"/>
    </row>
    <row r="733" spans="1:17" x14ac:dyDescent="0.3">
      <c r="A733" s="18"/>
      <c r="B733" s="18"/>
      <c r="C733" s="18"/>
      <c r="I733" s="19"/>
      <c r="J733" s="19"/>
      <c r="P733" s="19"/>
    </row>
    <row r="734" spans="1:17" x14ac:dyDescent="0.3">
      <c r="A734" s="18"/>
      <c r="B734" s="18"/>
      <c r="C734" s="18"/>
      <c r="I734" s="19"/>
      <c r="J734" s="19"/>
      <c r="P734" s="19"/>
    </row>
    <row r="735" spans="1:17" x14ac:dyDescent="0.3">
      <c r="A735" s="18"/>
      <c r="B735" s="18"/>
      <c r="C735" s="18"/>
      <c r="I735" s="19"/>
      <c r="J735" s="19"/>
      <c r="P735" s="19"/>
    </row>
    <row r="736" spans="1:17" x14ac:dyDescent="0.3">
      <c r="A736" s="18"/>
      <c r="B736" s="18"/>
      <c r="C736" s="18"/>
      <c r="I736" s="19"/>
      <c r="J736" s="19"/>
      <c r="P736" s="19"/>
    </row>
    <row r="737" spans="1:16" x14ac:dyDescent="0.3">
      <c r="A737" s="18"/>
      <c r="B737" s="18"/>
      <c r="C737" s="18"/>
      <c r="I737" s="19"/>
      <c r="J737" s="19"/>
      <c r="P737" s="19"/>
    </row>
    <row r="738" spans="1:16" x14ac:dyDescent="0.3">
      <c r="A738" s="18"/>
      <c r="B738" s="18"/>
      <c r="C738" s="18"/>
      <c r="I738" s="19"/>
      <c r="J738" s="19"/>
      <c r="P738" s="19"/>
    </row>
    <row r="739" spans="1:16" x14ac:dyDescent="0.3">
      <c r="A739" s="18"/>
      <c r="B739" s="18"/>
      <c r="C739" s="18"/>
      <c r="I739" s="19"/>
      <c r="J739" s="19"/>
      <c r="P739" s="19"/>
    </row>
    <row r="740" spans="1:16" x14ac:dyDescent="0.3">
      <c r="A740" s="18"/>
      <c r="B740" s="18"/>
      <c r="C740" s="18"/>
      <c r="I740" s="19"/>
      <c r="J740" s="19"/>
      <c r="P740" s="19"/>
    </row>
    <row r="741" spans="1:16" x14ac:dyDescent="0.3">
      <c r="A741" s="18"/>
      <c r="B741" s="18"/>
      <c r="C741" s="18"/>
      <c r="I741" s="19"/>
      <c r="J741" s="19"/>
      <c r="P741" s="19"/>
    </row>
    <row r="742" spans="1:16" x14ac:dyDescent="0.3">
      <c r="A742" s="18"/>
      <c r="B742" s="18"/>
      <c r="C742" s="18"/>
      <c r="I742" s="19"/>
      <c r="J742" s="19"/>
      <c r="P742" s="19"/>
    </row>
    <row r="743" spans="1:16" x14ac:dyDescent="0.3">
      <c r="A743" s="18"/>
      <c r="B743" s="18"/>
      <c r="C743" s="18"/>
      <c r="I743" s="19"/>
      <c r="J743" s="19"/>
      <c r="P743" s="19"/>
    </row>
    <row r="744" spans="1:16" x14ac:dyDescent="0.3">
      <c r="A744" s="18"/>
      <c r="B744" s="18"/>
      <c r="C744" s="18"/>
      <c r="I744" s="19"/>
      <c r="J744" s="19"/>
      <c r="P744" s="19"/>
    </row>
    <row r="745" spans="1:16" x14ac:dyDescent="0.3">
      <c r="A745" s="18"/>
      <c r="B745" s="18"/>
      <c r="C745" s="18"/>
      <c r="I745" s="19"/>
      <c r="J745" s="19"/>
      <c r="P745" s="19"/>
    </row>
    <row r="746" spans="1:16" x14ac:dyDescent="0.3">
      <c r="A746" s="18"/>
      <c r="B746" s="18"/>
      <c r="C746" s="18"/>
      <c r="I746" s="19"/>
      <c r="J746" s="19"/>
      <c r="P746" s="19"/>
    </row>
    <row r="747" spans="1:16" x14ac:dyDescent="0.3">
      <c r="A747" s="18"/>
      <c r="B747" s="18"/>
      <c r="C747" s="18"/>
      <c r="I747" s="19"/>
      <c r="J747" s="19"/>
      <c r="P747" s="19"/>
    </row>
    <row r="748" spans="1:16" x14ac:dyDescent="0.3">
      <c r="A748" s="18"/>
      <c r="B748" s="18"/>
      <c r="C748" s="18"/>
      <c r="I748" s="19"/>
      <c r="J748" s="19"/>
      <c r="P748" s="19"/>
    </row>
    <row r="749" spans="1:16" x14ac:dyDescent="0.3">
      <c r="A749" s="18"/>
      <c r="B749" s="18"/>
      <c r="C749" s="18"/>
      <c r="I749" s="19"/>
      <c r="J749" s="19"/>
      <c r="P749" s="19"/>
    </row>
    <row r="750" spans="1:16" x14ac:dyDescent="0.3">
      <c r="A750" s="18"/>
      <c r="B750" s="18"/>
      <c r="C750" s="18"/>
      <c r="I750" s="19"/>
      <c r="J750" s="19"/>
      <c r="P750" s="19"/>
    </row>
    <row r="751" spans="1:16" x14ac:dyDescent="0.3">
      <c r="A751" s="18"/>
      <c r="B751" s="18"/>
      <c r="C751" s="18"/>
      <c r="I751" s="19"/>
      <c r="J751" s="19"/>
      <c r="P751" s="19"/>
    </row>
    <row r="752" spans="1:16" x14ac:dyDescent="0.3">
      <c r="A752" s="18"/>
      <c r="B752" s="18"/>
      <c r="C752" s="18"/>
      <c r="I752" s="19"/>
      <c r="J752" s="19"/>
      <c r="P752" s="19"/>
    </row>
    <row r="753" spans="1:16" x14ac:dyDescent="0.3">
      <c r="A753" s="18"/>
      <c r="B753" s="18"/>
      <c r="C753" s="18"/>
      <c r="I753" s="19"/>
      <c r="J753" s="19"/>
      <c r="P753" s="19"/>
    </row>
    <row r="754" spans="1:16" x14ac:dyDescent="0.3">
      <c r="A754" s="18"/>
      <c r="B754" s="18"/>
      <c r="C754" s="18"/>
      <c r="I754" s="19"/>
      <c r="J754" s="19"/>
      <c r="P754" s="19"/>
    </row>
    <row r="755" spans="1:16" x14ac:dyDescent="0.3">
      <c r="A755" s="18"/>
      <c r="B755" s="18"/>
      <c r="C755" s="18"/>
      <c r="I755" s="19"/>
      <c r="J755" s="19"/>
      <c r="P755" s="19"/>
    </row>
    <row r="756" spans="1:16" x14ac:dyDescent="0.3">
      <c r="A756" s="18"/>
      <c r="B756" s="18"/>
      <c r="C756" s="18"/>
      <c r="I756" s="19"/>
      <c r="J756" s="19"/>
      <c r="P756" s="19"/>
    </row>
    <row r="757" spans="1:16" x14ac:dyDescent="0.3">
      <c r="A757" s="18"/>
      <c r="B757" s="18"/>
      <c r="C757" s="18"/>
      <c r="I757" s="19"/>
      <c r="J757" s="19"/>
      <c r="P757" s="19"/>
    </row>
    <row r="758" spans="1:16" x14ac:dyDescent="0.3">
      <c r="A758" s="18"/>
      <c r="B758" s="18"/>
      <c r="C758" s="18"/>
      <c r="I758" s="19"/>
      <c r="J758" s="19"/>
      <c r="P758" s="19"/>
    </row>
    <row r="759" spans="1:16" x14ac:dyDescent="0.3">
      <c r="A759" s="18"/>
      <c r="B759" s="18"/>
      <c r="C759" s="18"/>
      <c r="I759" s="19"/>
      <c r="J759" s="19"/>
      <c r="P759" s="19"/>
    </row>
    <row r="760" spans="1:16" x14ac:dyDescent="0.3">
      <c r="A760" s="18"/>
      <c r="B760" s="18"/>
      <c r="C760" s="18"/>
      <c r="I760" s="19"/>
      <c r="J760" s="19"/>
      <c r="P760" s="19"/>
    </row>
    <row r="761" spans="1:16" x14ac:dyDescent="0.3">
      <c r="A761" s="18"/>
      <c r="B761" s="18"/>
      <c r="C761" s="18"/>
      <c r="I761" s="19"/>
      <c r="J761" s="19"/>
      <c r="P761" s="19"/>
    </row>
    <row r="762" spans="1:16" x14ac:dyDescent="0.3">
      <c r="A762" s="18"/>
      <c r="B762" s="18"/>
      <c r="C762" s="18"/>
      <c r="I762" s="19"/>
      <c r="J762" s="19"/>
      <c r="P762" s="19"/>
    </row>
    <row r="763" spans="1:16" x14ac:dyDescent="0.3">
      <c r="A763" s="18"/>
      <c r="B763" s="18"/>
      <c r="C763" s="18"/>
      <c r="I763" s="19"/>
      <c r="J763" s="19"/>
      <c r="P763" s="19"/>
    </row>
    <row r="764" spans="1:16" x14ac:dyDescent="0.3">
      <c r="A764" s="18"/>
      <c r="B764" s="18"/>
      <c r="C764" s="18"/>
      <c r="I764" s="19"/>
      <c r="J764" s="19"/>
      <c r="P764" s="19"/>
    </row>
    <row r="765" spans="1:16" x14ac:dyDescent="0.3">
      <c r="A765" s="18"/>
      <c r="B765" s="18"/>
      <c r="C765" s="18"/>
      <c r="I765" s="19"/>
      <c r="J765" s="19"/>
      <c r="P765" s="19"/>
    </row>
    <row r="766" spans="1:16" x14ac:dyDescent="0.3">
      <c r="A766" s="18"/>
      <c r="B766" s="18"/>
      <c r="C766" s="18"/>
      <c r="I766" s="19"/>
      <c r="J766" s="19"/>
      <c r="P766" s="19"/>
    </row>
    <row r="767" spans="1:16" x14ac:dyDescent="0.3">
      <c r="A767" s="18"/>
      <c r="B767" s="18"/>
      <c r="C767" s="18"/>
      <c r="I767" s="19"/>
      <c r="J767" s="19"/>
      <c r="P767" s="19"/>
    </row>
    <row r="768" spans="1:16" x14ac:dyDescent="0.3">
      <c r="A768" s="18"/>
      <c r="B768" s="18"/>
      <c r="C768" s="18"/>
      <c r="I768" s="19"/>
      <c r="J768" s="19"/>
      <c r="P768" s="19"/>
    </row>
    <row r="769" spans="1:16" x14ac:dyDescent="0.3">
      <c r="A769" s="18"/>
      <c r="B769" s="18"/>
      <c r="C769" s="18"/>
      <c r="I769" s="19"/>
      <c r="J769" s="19"/>
      <c r="P769" s="19"/>
    </row>
    <row r="770" spans="1:16" x14ac:dyDescent="0.3">
      <c r="A770" s="18"/>
      <c r="B770" s="18"/>
      <c r="C770" s="18"/>
      <c r="I770" s="19"/>
      <c r="J770" s="19"/>
      <c r="P770" s="19"/>
    </row>
    <row r="771" spans="1:16" x14ac:dyDescent="0.3">
      <c r="A771" s="18"/>
      <c r="B771" s="18"/>
      <c r="C771" s="18"/>
      <c r="I771" s="19"/>
      <c r="J771" s="19"/>
      <c r="P771" s="19"/>
    </row>
    <row r="772" spans="1:16" x14ac:dyDescent="0.3">
      <c r="A772" s="18"/>
      <c r="B772" s="18"/>
      <c r="C772" s="18"/>
      <c r="I772" s="19"/>
      <c r="J772" s="19"/>
      <c r="P772" s="19"/>
    </row>
    <row r="773" spans="1:16" x14ac:dyDescent="0.3">
      <c r="A773" s="18"/>
      <c r="B773" s="18"/>
      <c r="C773" s="18"/>
      <c r="I773" s="19"/>
      <c r="J773" s="19"/>
      <c r="P773" s="19"/>
    </row>
    <row r="774" spans="1:16" x14ac:dyDescent="0.3">
      <c r="A774" s="18"/>
      <c r="B774" s="18"/>
      <c r="C774" s="18"/>
      <c r="I774" s="19"/>
      <c r="J774" s="19"/>
      <c r="P774" s="19"/>
    </row>
    <row r="775" spans="1:16" x14ac:dyDescent="0.3">
      <c r="A775" s="18"/>
      <c r="B775" s="18"/>
      <c r="C775" s="18"/>
      <c r="I775" s="19"/>
      <c r="J775" s="19"/>
      <c r="P775" s="19"/>
    </row>
    <row r="776" spans="1:16" x14ac:dyDescent="0.3">
      <c r="A776" s="18"/>
      <c r="B776" s="18"/>
      <c r="C776" s="18"/>
      <c r="I776" s="19"/>
      <c r="J776" s="19"/>
      <c r="P776" s="19"/>
    </row>
    <row r="777" spans="1:16" x14ac:dyDescent="0.3">
      <c r="A777" s="18"/>
      <c r="B777" s="18"/>
      <c r="C777" s="18"/>
      <c r="I777" s="19"/>
      <c r="J777" s="19"/>
      <c r="P777" s="19"/>
    </row>
    <row r="778" spans="1:16" x14ac:dyDescent="0.3">
      <c r="A778" s="18"/>
      <c r="B778" s="18"/>
      <c r="C778" s="18"/>
      <c r="I778" s="19"/>
      <c r="J778" s="19"/>
      <c r="P778" s="19"/>
    </row>
    <row r="779" spans="1:16" x14ac:dyDescent="0.3">
      <c r="A779" s="18"/>
      <c r="B779" s="18"/>
      <c r="C779" s="18"/>
      <c r="I779" s="19"/>
      <c r="J779" s="19"/>
      <c r="P779" s="19"/>
    </row>
    <row r="780" spans="1:16" x14ac:dyDescent="0.3">
      <c r="A780" s="18"/>
      <c r="B780" s="18"/>
      <c r="C780" s="18"/>
      <c r="I780" s="19"/>
      <c r="J780" s="19"/>
      <c r="P780" s="19"/>
    </row>
    <row r="781" spans="1:16" x14ac:dyDescent="0.3">
      <c r="A781" s="18"/>
      <c r="B781" s="18"/>
      <c r="C781" s="18"/>
      <c r="I781" s="19"/>
      <c r="J781" s="19"/>
      <c r="P781" s="19"/>
    </row>
    <row r="782" spans="1:16" x14ac:dyDescent="0.3">
      <c r="A782" s="18"/>
      <c r="B782" s="18"/>
      <c r="C782" s="18"/>
      <c r="I782" s="19"/>
      <c r="J782" s="19"/>
      <c r="P782" s="19"/>
    </row>
    <row r="783" spans="1:16" x14ac:dyDescent="0.3">
      <c r="A783" s="18"/>
      <c r="B783" s="18"/>
      <c r="C783" s="18"/>
      <c r="I783" s="19"/>
      <c r="J783" s="19"/>
      <c r="P783" s="19"/>
    </row>
    <row r="784" spans="1:16" x14ac:dyDescent="0.3">
      <c r="A784" s="18"/>
      <c r="B784" s="18"/>
      <c r="C784" s="18"/>
      <c r="I784" s="19"/>
      <c r="J784" s="19"/>
      <c r="P784" s="19"/>
    </row>
    <row r="785" spans="1:16" x14ac:dyDescent="0.3">
      <c r="A785" s="18"/>
      <c r="B785" s="18"/>
      <c r="C785" s="18"/>
      <c r="I785" s="19"/>
      <c r="J785" s="19"/>
      <c r="P785" s="19"/>
    </row>
    <row r="786" spans="1:16" x14ac:dyDescent="0.3">
      <c r="A786" s="18"/>
      <c r="B786" s="18"/>
      <c r="C786" s="18"/>
      <c r="I786" s="19"/>
      <c r="J786" s="19"/>
      <c r="P786" s="19"/>
    </row>
    <row r="787" spans="1:16" x14ac:dyDescent="0.3">
      <c r="A787" s="18"/>
      <c r="B787" s="18"/>
      <c r="C787" s="18"/>
      <c r="I787" s="19"/>
      <c r="J787" s="19"/>
      <c r="P787" s="19"/>
    </row>
    <row r="788" spans="1:16" x14ac:dyDescent="0.3">
      <c r="A788" s="18"/>
      <c r="B788" s="18"/>
      <c r="C788" s="18"/>
      <c r="I788" s="19"/>
      <c r="J788" s="19"/>
      <c r="P788" s="19"/>
    </row>
    <row r="789" spans="1:16" x14ac:dyDescent="0.3">
      <c r="A789" s="18"/>
      <c r="B789" s="18"/>
      <c r="C789" s="18"/>
      <c r="I789" s="19"/>
      <c r="J789" s="19"/>
      <c r="P789" s="19"/>
    </row>
    <row r="790" spans="1:16" x14ac:dyDescent="0.3">
      <c r="A790" s="18"/>
      <c r="B790" s="18"/>
      <c r="C790" s="18"/>
      <c r="I790" s="19"/>
      <c r="J790" s="19"/>
      <c r="P790" s="19"/>
    </row>
    <row r="791" spans="1:16" x14ac:dyDescent="0.3">
      <c r="A791" s="18"/>
      <c r="B791" s="18"/>
      <c r="C791" s="18"/>
      <c r="I791" s="19"/>
      <c r="J791" s="19"/>
      <c r="P791" s="19"/>
    </row>
    <row r="792" spans="1:16" x14ac:dyDescent="0.3">
      <c r="A792" s="18"/>
      <c r="B792" s="18"/>
      <c r="C792" s="18"/>
      <c r="I792" s="19"/>
      <c r="J792" s="19"/>
      <c r="P792" s="19"/>
    </row>
    <row r="793" spans="1:16" x14ac:dyDescent="0.3">
      <c r="A793" s="18"/>
      <c r="B793" s="18"/>
      <c r="C793" s="18"/>
      <c r="I793" s="19"/>
      <c r="J793" s="19"/>
      <c r="P793" s="19"/>
    </row>
    <row r="794" spans="1:16" x14ac:dyDescent="0.3">
      <c r="A794" s="18"/>
      <c r="B794" s="18"/>
      <c r="C794" s="18"/>
      <c r="I794" s="19"/>
      <c r="J794" s="19"/>
      <c r="P794" s="19"/>
    </row>
    <row r="795" spans="1:16" x14ac:dyDescent="0.3">
      <c r="A795" s="18"/>
      <c r="B795" s="18"/>
      <c r="C795" s="18"/>
      <c r="I795" s="19"/>
      <c r="J795" s="19"/>
      <c r="P795" s="19"/>
    </row>
    <row r="796" spans="1:16" x14ac:dyDescent="0.3">
      <c r="A796" s="18"/>
      <c r="B796" s="18"/>
      <c r="C796" s="18"/>
      <c r="I796" s="19"/>
      <c r="J796" s="19"/>
      <c r="P796" s="19"/>
    </row>
    <row r="797" spans="1:16" x14ac:dyDescent="0.3">
      <c r="A797" s="18"/>
      <c r="B797" s="18"/>
      <c r="C797" s="18"/>
      <c r="I797" s="19"/>
      <c r="J797" s="19"/>
      <c r="P797" s="19"/>
    </row>
    <row r="798" spans="1:16" x14ac:dyDescent="0.3">
      <c r="A798" s="18"/>
      <c r="B798" s="18"/>
      <c r="C798" s="18"/>
      <c r="I798" s="19"/>
      <c r="J798" s="19"/>
      <c r="P798" s="19"/>
    </row>
    <row r="799" spans="1:16" x14ac:dyDescent="0.3">
      <c r="A799" s="18"/>
      <c r="B799" s="18"/>
      <c r="C799" s="18"/>
      <c r="I799" s="19"/>
      <c r="J799" s="19"/>
      <c r="P799" s="19"/>
    </row>
    <row r="800" spans="1:16" x14ac:dyDescent="0.3">
      <c r="A800" s="18"/>
      <c r="B800" s="18"/>
      <c r="C800" s="18"/>
      <c r="I800" s="19"/>
      <c r="J800" s="19"/>
      <c r="P800" s="19"/>
    </row>
    <row r="801" spans="1:16" x14ac:dyDescent="0.3">
      <c r="A801" s="18"/>
      <c r="B801" s="18"/>
      <c r="C801" s="18"/>
      <c r="I801" s="19"/>
      <c r="J801" s="19"/>
      <c r="P801" s="19"/>
    </row>
    <row r="802" spans="1:16" x14ac:dyDescent="0.3">
      <c r="A802" s="18"/>
      <c r="B802" s="18"/>
      <c r="C802" s="18"/>
      <c r="I802" s="19"/>
      <c r="J802" s="19"/>
      <c r="P802" s="19"/>
    </row>
    <row r="803" spans="1:16" x14ac:dyDescent="0.3">
      <c r="A803" s="18"/>
      <c r="B803" s="18"/>
      <c r="C803" s="18"/>
      <c r="I803" s="19"/>
      <c r="J803" s="19"/>
      <c r="P803" s="19"/>
    </row>
    <row r="804" spans="1:16" x14ac:dyDescent="0.3">
      <c r="A804" s="18"/>
      <c r="B804" s="18"/>
      <c r="C804" s="18"/>
      <c r="I804" s="19"/>
      <c r="J804" s="19"/>
      <c r="P804" s="19"/>
    </row>
    <row r="805" spans="1:16" x14ac:dyDescent="0.3">
      <c r="A805" s="18"/>
      <c r="B805" s="18"/>
      <c r="C805" s="18"/>
      <c r="I805" s="19"/>
      <c r="J805" s="19"/>
      <c r="P805" s="19"/>
    </row>
    <row r="806" spans="1:16" x14ac:dyDescent="0.3">
      <c r="A806" s="18"/>
      <c r="B806" s="18"/>
      <c r="C806" s="18"/>
      <c r="I806" s="19"/>
      <c r="J806" s="19"/>
      <c r="P806" s="19"/>
    </row>
    <row r="807" spans="1:16" x14ac:dyDescent="0.3">
      <c r="A807" s="18"/>
      <c r="B807" s="18"/>
      <c r="C807" s="18"/>
      <c r="I807" s="19"/>
      <c r="J807" s="19"/>
      <c r="P807" s="19"/>
    </row>
    <row r="808" spans="1:16" x14ac:dyDescent="0.3">
      <c r="A808" s="18"/>
      <c r="B808" s="18"/>
      <c r="C808" s="18"/>
      <c r="I808" s="19"/>
      <c r="J808" s="19"/>
      <c r="P808" s="19"/>
    </row>
    <row r="809" spans="1:16" x14ac:dyDescent="0.3">
      <c r="A809" s="18"/>
      <c r="B809" s="18"/>
      <c r="C809" s="18"/>
      <c r="I809" s="19"/>
      <c r="J809" s="19"/>
      <c r="P809" s="19"/>
    </row>
    <row r="810" spans="1:16" x14ac:dyDescent="0.3">
      <c r="A810" s="18"/>
      <c r="B810" s="18"/>
      <c r="C810" s="18"/>
      <c r="I810" s="19"/>
      <c r="J810" s="19"/>
      <c r="P810" s="19"/>
    </row>
    <row r="811" spans="1:16" x14ac:dyDescent="0.3">
      <c r="A811" s="18"/>
      <c r="B811" s="18"/>
      <c r="C811" s="18"/>
      <c r="I811" s="19"/>
      <c r="J811" s="19"/>
      <c r="P811" s="19"/>
    </row>
    <row r="812" spans="1:16" x14ac:dyDescent="0.3">
      <c r="A812" s="18"/>
      <c r="B812" s="18"/>
      <c r="C812" s="18"/>
      <c r="I812" s="19"/>
      <c r="J812" s="19"/>
      <c r="P812" s="19"/>
    </row>
    <row r="813" spans="1:16" x14ac:dyDescent="0.3">
      <c r="A813" s="18"/>
      <c r="B813" s="18"/>
      <c r="C813" s="18"/>
      <c r="I813" s="19"/>
      <c r="J813" s="19"/>
      <c r="P813" s="19"/>
    </row>
    <row r="814" spans="1:16" x14ac:dyDescent="0.3">
      <c r="A814" s="18"/>
      <c r="B814" s="18"/>
      <c r="C814" s="18"/>
      <c r="I814" s="19"/>
      <c r="J814" s="19"/>
      <c r="P814" s="19"/>
    </row>
    <row r="815" spans="1:16" x14ac:dyDescent="0.3">
      <c r="A815" s="18"/>
      <c r="B815" s="18"/>
      <c r="C815" s="18"/>
      <c r="I815" s="19"/>
      <c r="J815" s="19"/>
      <c r="P815" s="19"/>
    </row>
    <row r="816" spans="1:16" x14ac:dyDescent="0.3">
      <c r="A816" s="18"/>
      <c r="B816" s="18"/>
      <c r="C816" s="18"/>
      <c r="I816" s="19"/>
      <c r="J816" s="19"/>
      <c r="P816" s="19"/>
    </row>
    <row r="817" spans="1:16" x14ac:dyDescent="0.3">
      <c r="A817" s="18"/>
      <c r="B817" s="18"/>
      <c r="C817" s="18"/>
      <c r="I817" s="19"/>
      <c r="J817" s="19"/>
      <c r="P817" s="19"/>
    </row>
    <row r="818" spans="1:16" x14ac:dyDescent="0.3">
      <c r="A818" s="18"/>
      <c r="B818" s="18"/>
      <c r="C818" s="18"/>
      <c r="I818" s="19"/>
      <c r="J818" s="19"/>
      <c r="P818" s="19"/>
    </row>
    <row r="819" spans="1:16" x14ac:dyDescent="0.3">
      <c r="A819" s="18"/>
      <c r="B819" s="18"/>
      <c r="C819" s="18"/>
      <c r="I819" s="19"/>
      <c r="J819" s="19"/>
      <c r="P819" s="19"/>
    </row>
    <row r="820" spans="1:16" x14ac:dyDescent="0.3">
      <c r="A820" s="18"/>
      <c r="B820" s="18"/>
      <c r="C820" s="18"/>
      <c r="I820" s="19"/>
      <c r="J820" s="19"/>
      <c r="P820" s="19"/>
    </row>
    <row r="821" spans="1:16" x14ac:dyDescent="0.3">
      <c r="A821" s="18"/>
      <c r="B821" s="18"/>
      <c r="C821" s="18"/>
      <c r="I821" s="19"/>
      <c r="J821" s="19"/>
      <c r="P821" s="19"/>
    </row>
    <row r="822" spans="1:16" x14ac:dyDescent="0.3">
      <c r="A822" s="18"/>
      <c r="B822" s="18"/>
      <c r="C822" s="18"/>
      <c r="I822" s="19"/>
      <c r="J822" s="19"/>
      <c r="P822" s="19"/>
    </row>
    <row r="823" spans="1:16" x14ac:dyDescent="0.3">
      <c r="A823" s="18"/>
      <c r="B823" s="18"/>
      <c r="C823" s="18"/>
      <c r="I823" s="19"/>
      <c r="J823" s="19"/>
      <c r="P823" s="19"/>
    </row>
    <row r="824" spans="1:16" x14ac:dyDescent="0.3">
      <c r="A824" s="18"/>
      <c r="B824" s="18"/>
      <c r="C824" s="18"/>
      <c r="I824" s="19"/>
      <c r="J824" s="19"/>
      <c r="P824" s="19"/>
    </row>
    <row r="825" spans="1:16" x14ac:dyDescent="0.3">
      <c r="A825" s="18"/>
      <c r="B825" s="18"/>
      <c r="C825" s="18"/>
      <c r="I825" s="19"/>
      <c r="J825" s="19"/>
      <c r="P825" s="19"/>
    </row>
    <row r="826" spans="1:16" x14ac:dyDescent="0.3">
      <c r="A826" s="18"/>
      <c r="B826" s="18"/>
      <c r="C826" s="18"/>
      <c r="I826" s="19"/>
      <c r="J826" s="19"/>
      <c r="P826" s="19"/>
    </row>
    <row r="827" spans="1:16" x14ac:dyDescent="0.3">
      <c r="A827" s="18"/>
      <c r="B827" s="18"/>
      <c r="C827" s="18"/>
      <c r="I827" s="19"/>
      <c r="J827" s="19"/>
      <c r="P827" s="19"/>
    </row>
    <row r="828" spans="1:16" x14ac:dyDescent="0.3">
      <c r="A828" s="18"/>
      <c r="B828" s="18"/>
      <c r="C828" s="18"/>
      <c r="I828" s="19"/>
      <c r="J828" s="19"/>
      <c r="P828" s="19"/>
    </row>
    <row r="829" spans="1:16" x14ac:dyDescent="0.3">
      <c r="A829" s="18"/>
      <c r="B829" s="18"/>
      <c r="C829" s="18"/>
      <c r="I829" s="19"/>
      <c r="J829" s="19"/>
      <c r="P829" s="19"/>
    </row>
    <row r="830" spans="1:16" x14ac:dyDescent="0.3">
      <c r="A830" s="18"/>
      <c r="B830" s="18"/>
      <c r="C830" s="18"/>
      <c r="I830" s="19"/>
      <c r="J830" s="19"/>
      <c r="P830" s="19"/>
    </row>
    <row r="831" spans="1:16" x14ac:dyDescent="0.3">
      <c r="A831" s="18"/>
      <c r="B831" s="18"/>
      <c r="C831" s="18"/>
      <c r="I831" s="19"/>
      <c r="J831" s="19"/>
      <c r="P831" s="19"/>
    </row>
    <row r="832" spans="1:16" x14ac:dyDescent="0.3">
      <c r="A832" s="18"/>
      <c r="B832" s="18"/>
      <c r="C832" s="18"/>
      <c r="I832" s="19"/>
      <c r="J832" s="19"/>
      <c r="P832" s="19"/>
    </row>
    <row r="833" spans="1:16" x14ac:dyDescent="0.3">
      <c r="A833" s="18"/>
      <c r="B833" s="18"/>
      <c r="C833" s="18"/>
      <c r="I833" s="19"/>
      <c r="J833" s="19"/>
      <c r="P833" s="19"/>
    </row>
    <row r="834" spans="1:16" x14ac:dyDescent="0.3">
      <c r="A834" s="18"/>
      <c r="B834" s="18"/>
      <c r="C834" s="18"/>
      <c r="I834" s="19"/>
      <c r="J834" s="19"/>
      <c r="P834" s="19"/>
    </row>
    <row r="835" spans="1:16" x14ac:dyDescent="0.3">
      <c r="A835" s="18"/>
      <c r="B835" s="18"/>
      <c r="C835" s="18"/>
      <c r="I835" s="19"/>
      <c r="J835" s="19"/>
      <c r="P835" s="19"/>
    </row>
    <row r="836" spans="1:16" x14ac:dyDescent="0.3">
      <c r="A836" s="18"/>
      <c r="B836" s="18"/>
      <c r="C836" s="18"/>
      <c r="I836" s="19"/>
      <c r="J836" s="19"/>
      <c r="P836" s="19"/>
    </row>
    <row r="837" spans="1:16" x14ac:dyDescent="0.3">
      <c r="A837" s="18"/>
      <c r="B837" s="18"/>
      <c r="C837" s="18"/>
      <c r="I837" s="19"/>
      <c r="J837" s="19"/>
      <c r="P837" s="19"/>
    </row>
    <row r="838" spans="1:16" x14ac:dyDescent="0.3">
      <c r="A838" s="18"/>
      <c r="B838" s="18"/>
      <c r="C838" s="18"/>
      <c r="I838" s="19"/>
      <c r="J838" s="19"/>
      <c r="P838" s="19"/>
    </row>
    <row r="839" spans="1:16" x14ac:dyDescent="0.3">
      <c r="A839" s="18"/>
      <c r="B839" s="18"/>
      <c r="C839" s="18"/>
      <c r="I839" s="19"/>
      <c r="J839" s="19"/>
      <c r="P839" s="19"/>
    </row>
    <row r="840" spans="1:16" x14ac:dyDescent="0.3">
      <c r="A840" s="18"/>
      <c r="B840" s="18"/>
      <c r="C840" s="18"/>
      <c r="I840" s="19"/>
      <c r="J840" s="19"/>
      <c r="P840" s="19"/>
    </row>
    <row r="841" spans="1:16" x14ac:dyDescent="0.3">
      <c r="A841" s="18"/>
      <c r="B841" s="18"/>
      <c r="C841" s="18"/>
      <c r="I841" s="19"/>
      <c r="J841" s="19"/>
      <c r="P841" s="19"/>
    </row>
    <row r="842" spans="1:16" x14ac:dyDescent="0.3">
      <c r="A842" s="18"/>
      <c r="B842" s="18"/>
      <c r="C842" s="18"/>
      <c r="I842" s="19"/>
      <c r="J842" s="19"/>
      <c r="P842" s="19"/>
    </row>
    <row r="843" spans="1:16" x14ac:dyDescent="0.3">
      <c r="A843" s="18"/>
      <c r="B843" s="18"/>
      <c r="C843" s="18"/>
      <c r="I843" s="19"/>
      <c r="J843" s="19"/>
      <c r="P843" s="19"/>
    </row>
    <row r="844" spans="1:16" x14ac:dyDescent="0.3">
      <c r="A844" s="18"/>
      <c r="B844" s="18"/>
      <c r="C844" s="18"/>
      <c r="I844" s="19"/>
      <c r="J844" s="19"/>
      <c r="P844" s="19"/>
    </row>
    <row r="845" spans="1:16" x14ac:dyDescent="0.3">
      <c r="A845" s="18"/>
      <c r="B845" s="18"/>
      <c r="C845" s="18"/>
      <c r="I845" s="19"/>
      <c r="J845" s="19"/>
      <c r="P845" s="19"/>
    </row>
    <row r="846" spans="1:16" x14ac:dyDescent="0.3">
      <c r="A846" s="18"/>
      <c r="B846" s="18"/>
      <c r="C846" s="18"/>
      <c r="I846" s="19"/>
      <c r="J846" s="19"/>
      <c r="P846" s="19"/>
    </row>
    <row r="847" spans="1:16" x14ac:dyDescent="0.3">
      <c r="A847" s="18"/>
      <c r="B847" s="18"/>
      <c r="C847" s="18"/>
      <c r="I847" s="19"/>
      <c r="J847" s="19"/>
      <c r="P847" s="19"/>
    </row>
    <row r="848" spans="1:16" x14ac:dyDescent="0.3">
      <c r="A848" s="18"/>
      <c r="B848" s="18"/>
      <c r="C848" s="18"/>
      <c r="I848" s="19"/>
      <c r="J848" s="19"/>
      <c r="P848" s="19"/>
    </row>
    <row r="849" spans="1:16" x14ac:dyDescent="0.3">
      <c r="A849" s="18"/>
      <c r="B849" s="18"/>
      <c r="C849" s="18"/>
      <c r="I849" s="19"/>
      <c r="J849" s="19"/>
      <c r="P849" s="19"/>
    </row>
    <row r="850" spans="1:16" x14ac:dyDescent="0.3">
      <c r="A850" s="18"/>
      <c r="B850" s="18"/>
      <c r="C850" s="18"/>
      <c r="I850" s="19"/>
      <c r="J850" s="19"/>
      <c r="P850" s="19"/>
    </row>
    <row r="851" spans="1:16" x14ac:dyDescent="0.3">
      <c r="A851" s="18"/>
      <c r="B851" s="18"/>
      <c r="C851" s="18"/>
      <c r="I851" s="19"/>
      <c r="J851" s="19"/>
      <c r="P851" s="19"/>
    </row>
    <row r="852" spans="1:16" x14ac:dyDescent="0.3">
      <c r="A852" s="18"/>
      <c r="B852" s="18"/>
      <c r="C852" s="18"/>
      <c r="I852" s="19"/>
      <c r="J852" s="19"/>
      <c r="P852" s="19"/>
    </row>
    <row r="853" spans="1:16" x14ac:dyDescent="0.3">
      <c r="A853" s="18"/>
      <c r="B853" s="18"/>
      <c r="C853" s="18"/>
      <c r="I853" s="19"/>
      <c r="J853" s="19"/>
      <c r="P853" s="19"/>
    </row>
    <row r="854" spans="1:16" x14ac:dyDescent="0.3">
      <c r="A854" s="18"/>
      <c r="B854" s="18"/>
      <c r="C854" s="18"/>
      <c r="I854" s="19"/>
      <c r="J854" s="19"/>
      <c r="P854" s="19"/>
    </row>
    <row r="855" spans="1:16" x14ac:dyDescent="0.3">
      <c r="A855" s="18"/>
      <c r="B855" s="18"/>
      <c r="C855" s="18"/>
      <c r="I855" s="19"/>
      <c r="J855" s="19"/>
      <c r="P855" s="19"/>
    </row>
    <row r="856" spans="1:16" x14ac:dyDescent="0.3">
      <c r="A856" s="18"/>
      <c r="B856" s="18"/>
      <c r="C856" s="18"/>
      <c r="I856" s="19"/>
      <c r="J856" s="19"/>
      <c r="P856" s="19"/>
    </row>
    <row r="857" spans="1:16" x14ac:dyDescent="0.3">
      <c r="A857" s="18"/>
      <c r="B857" s="18"/>
      <c r="C857" s="18"/>
      <c r="I857" s="19"/>
      <c r="J857" s="19"/>
      <c r="P857" s="19"/>
    </row>
    <row r="858" spans="1:16" x14ac:dyDescent="0.3">
      <c r="A858" s="18"/>
      <c r="B858" s="18"/>
      <c r="C858" s="18"/>
      <c r="I858" s="19"/>
      <c r="J858" s="19"/>
      <c r="P858" s="19"/>
    </row>
    <row r="859" spans="1:16" x14ac:dyDescent="0.3">
      <c r="A859" s="18"/>
      <c r="B859" s="18"/>
      <c r="C859" s="18"/>
      <c r="I859" s="19"/>
      <c r="J859" s="19"/>
      <c r="P859" s="19"/>
    </row>
    <row r="860" spans="1:16" x14ac:dyDescent="0.3">
      <c r="A860" s="18"/>
      <c r="B860" s="18"/>
      <c r="C860" s="18"/>
      <c r="I860" s="19"/>
      <c r="J860" s="19"/>
      <c r="P860" s="19"/>
    </row>
    <row r="861" spans="1:16" x14ac:dyDescent="0.3">
      <c r="A861" s="18"/>
      <c r="B861" s="18"/>
      <c r="C861" s="18"/>
      <c r="I861" s="19"/>
      <c r="J861" s="19"/>
      <c r="P861" s="19"/>
    </row>
    <row r="862" spans="1:16" x14ac:dyDescent="0.3">
      <c r="A862" s="18"/>
      <c r="B862" s="18"/>
      <c r="C862" s="18"/>
      <c r="I862" s="19"/>
      <c r="J862" s="19"/>
      <c r="P862" s="19"/>
    </row>
    <row r="863" spans="1:16" x14ac:dyDescent="0.3">
      <c r="A863" s="18"/>
      <c r="B863" s="18"/>
      <c r="C863" s="18"/>
      <c r="I863" s="19"/>
      <c r="J863" s="19"/>
      <c r="P863" s="19"/>
    </row>
    <row r="864" spans="1:16" x14ac:dyDescent="0.3">
      <c r="A864" s="18"/>
      <c r="B864" s="18"/>
      <c r="C864" s="18"/>
      <c r="I864" s="19"/>
      <c r="J864" s="19"/>
      <c r="P864" s="19"/>
    </row>
    <row r="865" spans="1:16" x14ac:dyDescent="0.3">
      <c r="A865" s="18"/>
      <c r="B865" s="18"/>
      <c r="C865" s="18"/>
      <c r="I865" s="19"/>
      <c r="J865" s="19"/>
      <c r="P865" s="19"/>
    </row>
    <row r="866" spans="1:16" x14ac:dyDescent="0.3">
      <c r="A866" s="18"/>
      <c r="B866" s="18"/>
      <c r="C866" s="18"/>
      <c r="I866" s="19"/>
      <c r="J866" s="19"/>
      <c r="P866" s="19"/>
    </row>
    <row r="867" spans="1:16" x14ac:dyDescent="0.3">
      <c r="A867" s="18"/>
      <c r="B867" s="18"/>
      <c r="C867" s="18"/>
      <c r="I867" s="19"/>
      <c r="J867" s="19"/>
      <c r="P867" s="19"/>
    </row>
    <row r="868" spans="1:16" x14ac:dyDescent="0.3">
      <c r="A868" s="18"/>
      <c r="B868" s="18"/>
      <c r="C868" s="18"/>
      <c r="I868" s="19"/>
      <c r="J868" s="19"/>
      <c r="P868" s="19"/>
    </row>
    <row r="869" spans="1:16" x14ac:dyDescent="0.3">
      <c r="A869" s="18"/>
      <c r="B869" s="18"/>
      <c r="C869" s="18"/>
      <c r="I869" s="19"/>
      <c r="J869" s="19"/>
      <c r="P869" s="19"/>
    </row>
    <row r="870" spans="1:16" x14ac:dyDescent="0.3">
      <c r="A870" s="18"/>
      <c r="B870" s="18"/>
      <c r="C870" s="18"/>
      <c r="I870" s="19"/>
      <c r="J870" s="19"/>
      <c r="P870" s="19"/>
    </row>
    <row r="871" spans="1:16" x14ac:dyDescent="0.3">
      <c r="A871" s="18"/>
      <c r="B871" s="18"/>
      <c r="C871" s="18"/>
      <c r="I871" s="19"/>
      <c r="J871" s="19"/>
      <c r="P871" s="19"/>
    </row>
    <row r="872" spans="1:16" x14ac:dyDescent="0.3">
      <c r="A872" s="18"/>
      <c r="B872" s="18"/>
      <c r="C872" s="18"/>
      <c r="I872" s="19"/>
      <c r="J872" s="19"/>
      <c r="P872" s="19"/>
    </row>
    <row r="873" spans="1:16" x14ac:dyDescent="0.3">
      <c r="A873" s="18"/>
      <c r="B873" s="18"/>
      <c r="C873" s="18"/>
      <c r="I873" s="19"/>
      <c r="J873" s="19"/>
      <c r="P873" s="19"/>
    </row>
    <row r="874" spans="1:16" x14ac:dyDescent="0.3">
      <c r="A874" s="18"/>
      <c r="B874" s="18"/>
      <c r="C874" s="18"/>
      <c r="I874" s="19"/>
      <c r="J874" s="19"/>
      <c r="P874" s="19"/>
    </row>
    <row r="875" spans="1:16" x14ac:dyDescent="0.3">
      <c r="A875" s="18"/>
      <c r="B875" s="18"/>
      <c r="C875" s="18"/>
      <c r="I875" s="19"/>
      <c r="J875" s="19"/>
      <c r="P875" s="19"/>
    </row>
    <row r="876" spans="1:16" x14ac:dyDescent="0.3">
      <c r="A876" s="18"/>
      <c r="B876" s="18"/>
      <c r="C876" s="18"/>
      <c r="I876" s="19"/>
      <c r="J876" s="19"/>
      <c r="P876" s="19"/>
    </row>
    <row r="877" spans="1:16" x14ac:dyDescent="0.3">
      <c r="A877" s="18"/>
      <c r="B877" s="18"/>
      <c r="C877" s="18"/>
      <c r="I877" s="19"/>
      <c r="J877" s="19"/>
      <c r="P877" s="19"/>
    </row>
    <row r="878" spans="1:16" x14ac:dyDescent="0.3">
      <c r="A878" s="18"/>
      <c r="B878" s="18"/>
      <c r="C878" s="18"/>
      <c r="I878" s="19"/>
      <c r="J878" s="19"/>
      <c r="P878" s="19"/>
    </row>
    <row r="879" spans="1:16" x14ac:dyDescent="0.3">
      <c r="A879" s="18"/>
      <c r="B879" s="18"/>
      <c r="C879" s="18"/>
      <c r="I879" s="19"/>
      <c r="J879" s="19"/>
      <c r="P879" s="19"/>
    </row>
    <row r="880" spans="1:16" x14ac:dyDescent="0.3">
      <c r="A880" s="18"/>
      <c r="B880" s="18"/>
      <c r="C880" s="18"/>
      <c r="I880" s="19"/>
      <c r="J880" s="19"/>
      <c r="P880" s="19"/>
    </row>
    <row r="881" spans="1:16" x14ac:dyDescent="0.3">
      <c r="A881" s="18"/>
      <c r="B881" s="18"/>
      <c r="C881" s="18"/>
      <c r="I881" s="19"/>
      <c r="J881" s="19"/>
      <c r="P881" s="19"/>
    </row>
    <row r="882" spans="1:16" x14ac:dyDescent="0.3">
      <c r="A882" s="18"/>
      <c r="B882" s="18"/>
      <c r="C882" s="18"/>
      <c r="I882" s="19"/>
      <c r="J882" s="19"/>
      <c r="P882" s="19"/>
    </row>
    <row r="883" spans="1:16" x14ac:dyDescent="0.3">
      <c r="A883" s="18"/>
      <c r="B883" s="18"/>
      <c r="C883" s="18"/>
      <c r="I883" s="19"/>
      <c r="J883" s="19"/>
      <c r="P883" s="19"/>
    </row>
    <row r="884" spans="1:16" x14ac:dyDescent="0.3">
      <c r="A884" s="18"/>
      <c r="B884" s="18"/>
      <c r="C884" s="18"/>
      <c r="I884" s="19"/>
      <c r="J884" s="19"/>
      <c r="P884" s="19"/>
    </row>
    <row r="885" spans="1:16" x14ac:dyDescent="0.3">
      <c r="A885" s="18"/>
      <c r="B885" s="18"/>
      <c r="C885" s="18"/>
      <c r="I885" s="19"/>
      <c r="J885" s="19"/>
      <c r="P885" s="19"/>
    </row>
    <row r="886" spans="1:16" x14ac:dyDescent="0.3">
      <c r="A886" s="18"/>
      <c r="B886" s="18"/>
      <c r="C886" s="18"/>
      <c r="I886" s="19"/>
      <c r="J886" s="19"/>
      <c r="P886" s="19"/>
    </row>
    <row r="887" spans="1:16" x14ac:dyDescent="0.3">
      <c r="A887" s="18"/>
      <c r="B887" s="18"/>
      <c r="C887" s="18"/>
      <c r="I887" s="19"/>
      <c r="J887" s="19"/>
      <c r="P887" s="19"/>
    </row>
    <row r="888" spans="1:16" x14ac:dyDescent="0.3">
      <c r="A888" s="18"/>
      <c r="B888" s="18"/>
      <c r="C888" s="18"/>
      <c r="I888" s="19"/>
      <c r="J888" s="19"/>
      <c r="P888" s="19"/>
    </row>
    <row r="889" spans="1:16" x14ac:dyDescent="0.3">
      <c r="A889" s="18"/>
      <c r="B889" s="18"/>
      <c r="C889" s="18"/>
      <c r="I889" s="19"/>
      <c r="J889" s="19"/>
      <c r="P889" s="19"/>
    </row>
    <row r="890" spans="1:16" x14ac:dyDescent="0.3">
      <c r="A890" s="18"/>
      <c r="B890" s="18"/>
      <c r="C890" s="18"/>
      <c r="I890" s="19"/>
      <c r="J890" s="19"/>
      <c r="P890" s="19"/>
    </row>
    <row r="891" spans="1:16" x14ac:dyDescent="0.3">
      <c r="A891" s="18"/>
      <c r="B891" s="18"/>
      <c r="C891" s="18"/>
      <c r="I891" s="19"/>
      <c r="J891" s="19"/>
      <c r="P891" s="19"/>
    </row>
    <row r="892" spans="1:16" x14ac:dyDescent="0.3">
      <c r="A892" s="18"/>
      <c r="B892" s="18"/>
      <c r="C892" s="18"/>
      <c r="I892" s="19"/>
      <c r="J892" s="19"/>
      <c r="P892" s="19"/>
    </row>
    <row r="893" spans="1:16" x14ac:dyDescent="0.3">
      <c r="A893" s="18"/>
      <c r="B893" s="18"/>
      <c r="C893" s="18"/>
      <c r="I893" s="19"/>
      <c r="J893" s="19"/>
      <c r="P893" s="19"/>
    </row>
    <row r="894" spans="1:16" x14ac:dyDescent="0.3">
      <c r="A894" s="18"/>
      <c r="B894" s="18"/>
      <c r="C894" s="18"/>
      <c r="I894" s="19"/>
      <c r="J894" s="19"/>
      <c r="P894" s="19"/>
    </row>
    <row r="895" spans="1:16" x14ac:dyDescent="0.3">
      <c r="A895" s="18"/>
      <c r="B895" s="18"/>
      <c r="C895" s="18"/>
      <c r="I895" s="19"/>
      <c r="J895" s="19"/>
      <c r="P895" s="19"/>
    </row>
    <row r="896" spans="1:16" x14ac:dyDescent="0.3">
      <c r="A896" s="18"/>
      <c r="B896" s="18"/>
      <c r="C896" s="18"/>
      <c r="I896" s="19"/>
      <c r="J896" s="19"/>
      <c r="P896" s="19"/>
    </row>
    <row r="897" spans="1:16" x14ac:dyDescent="0.3">
      <c r="A897" s="18"/>
      <c r="B897" s="18"/>
      <c r="C897" s="18"/>
      <c r="I897" s="19"/>
      <c r="J897" s="19"/>
      <c r="P897" s="19"/>
    </row>
    <row r="898" spans="1:16" x14ac:dyDescent="0.3">
      <c r="A898" s="18"/>
      <c r="B898" s="18"/>
      <c r="C898" s="18"/>
      <c r="I898" s="19"/>
      <c r="J898" s="19"/>
      <c r="P898" s="19"/>
    </row>
    <row r="899" spans="1:16" x14ac:dyDescent="0.3">
      <c r="A899" s="18"/>
      <c r="B899" s="18"/>
      <c r="C899" s="18"/>
      <c r="I899" s="19"/>
      <c r="J899" s="19"/>
      <c r="P899" s="19"/>
    </row>
    <row r="900" spans="1:16" x14ac:dyDescent="0.3">
      <c r="A900" s="18"/>
      <c r="B900" s="18"/>
      <c r="C900" s="18"/>
      <c r="I900" s="19"/>
      <c r="J900" s="19"/>
      <c r="P900" s="19"/>
    </row>
    <row r="901" spans="1:16" x14ac:dyDescent="0.3">
      <c r="A901" s="18"/>
      <c r="B901" s="18"/>
      <c r="C901" s="18"/>
      <c r="I901" s="19"/>
      <c r="J901" s="19"/>
      <c r="P901" s="19"/>
    </row>
    <row r="902" spans="1:16" x14ac:dyDescent="0.3">
      <c r="A902" s="18"/>
      <c r="B902" s="18"/>
      <c r="C902" s="18"/>
      <c r="I902" s="19"/>
      <c r="J902" s="19"/>
      <c r="P902" s="19"/>
    </row>
    <row r="903" spans="1:16" x14ac:dyDescent="0.3">
      <c r="A903" s="18"/>
      <c r="B903" s="18"/>
      <c r="C903" s="18"/>
      <c r="I903" s="19"/>
      <c r="J903" s="19"/>
      <c r="P903" s="19"/>
    </row>
    <row r="904" spans="1:16" x14ac:dyDescent="0.3">
      <c r="A904" s="18"/>
      <c r="B904" s="18"/>
      <c r="C904" s="18"/>
      <c r="I904" s="19"/>
      <c r="J904" s="19"/>
      <c r="P904" s="19"/>
    </row>
    <row r="905" spans="1:16" x14ac:dyDescent="0.3">
      <c r="A905" s="18"/>
      <c r="B905" s="18"/>
      <c r="C905" s="18"/>
      <c r="I905" s="19"/>
      <c r="J905" s="19"/>
      <c r="P905" s="19"/>
    </row>
    <row r="906" spans="1:16" x14ac:dyDescent="0.3">
      <c r="A906" s="18"/>
      <c r="B906" s="18"/>
      <c r="C906" s="18"/>
      <c r="I906" s="19"/>
      <c r="J906" s="19"/>
      <c r="P906" s="19"/>
    </row>
    <row r="907" spans="1:16" x14ac:dyDescent="0.3">
      <c r="A907" s="18"/>
      <c r="B907" s="18"/>
      <c r="C907" s="18"/>
      <c r="I907" s="19"/>
      <c r="J907" s="19"/>
      <c r="P907" s="19"/>
    </row>
    <row r="908" spans="1:16" x14ac:dyDescent="0.3">
      <c r="A908" s="18"/>
      <c r="B908" s="18"/>
      <c r="C908" s="18"/>
      <c r="I908" s="19"/>
      <c r="J908" s="19"/>
      <c r="P908" s="19"/>
    </row>
    <row r="909" spans="1:16" x14ac:dyDescent="0.3">
      <c r="A909" s="18"/>
      <c r="B909" s="18"/>
      <c r="C909" s="18"/>
      <c r="I909" s="19"/>
      <c r="J909" s="19"/>
      <c r="P909" s="19"/>
    </row>
    <row r="910" spans="1:16" x14ac:dyDescent="0.3">
      <c r="A910" s="18"/>
      <c r="B910" s="18"/>
      <c r="C910" s="18"/>
      <c r="I910" s="19"/>
      <c r="J910" s="19"/>
      <c r="P910" s="19"/>
    </row>
    <row r="911" spans="1:16" x14ac:dyDescent="0.3">
      <c r="A911" s="18"/>
      <c r="B911" s="18"/>
      <c r="C911" s="18"/>
      <c r="I911" s="19"/>
      <c r="J911" s="19"/>
      <c r="P911" s="19"/>
    </row>
    <row r="912" spans="1:16" x14ac:dyDescent="0.3">
      <c r="A912" s="18"/>
      <c r="B912" s="18"/>
      <c r="C912" s="18"/>
      <c r="I912" s="19"/>
      <c r="J912" s="19"/>
      <c r="P912" s="19"/>
    </row>
    <row r="913" spans="1:16" x14ac:dyDescent="0.3">
      <c r="A913" s="18"/>
      <c r="B913" s="18"/>
      <c r="C913" s="18"/>
      <c r="I913" s="19"/>
      <c r="J913" s="19"/>
      <c r="P913" s="19"/>
    </row>
    <row r="914" spans="1:16" x14ac:dyDescent="0.3">
      <c r="A914" s="18"/>
      <c r="B914" s="18"/>
      <c r="C914" s="18"/>
      <c r="I914" s="19"/>
      <c r="J914" s="19"/>
      <c r="P914" s="19"/>
    </row>
    <row r="915" spans="1:16" x14ac:dyDescent="0.3">
      <c r="A915" s="18"/>
      <c r="B915" s="18"/>
      <c r="C915" s="18"/>
      <c r="I915" s="19"/>
      <c r="J915" s="19"/>
      <c r="P915" s="19"/>
    </row>
    <row r="916" spans="1:16" x14ac:dyDescent="0.3">
      <c r="A916" s="18"/>
      <c r="B916" s="18"/>
      <c r="C916" s="18"/>
      <c r="I916" s="19"/>
      <c r="J916" s="19"/>
      <c r="P916" s="19"/>
    </row>
    <row r="917" spans="1:16" x14ac:dyDescent="0.3">
      <c r="A917" s="18"/>
      <c r="B917" s="18"/>
      <c r="C917" s="18"/>
      <c r="I917" s="19"/>
      <c r="J917" s="19"/>
      <c r="P917" s="19"/>
    </row>
    <row r="918" spans="1:16" x14ac:dyDescent="0.3">
      <c r="A918" s="18"/>
      <c r="B918" s="18"/>
      <c r="C918" s="18"/>
      <c r="I918" s="19"/>
      <c r="J918" s="19"/>
      <c r="P918" s="19"/>
    </row>
    <row r="919" spans="1:16" x14ac:dyDescent="0.3">
      <c r="A919" s="18"/>
      <c r="B919" s="18"/>
      <c r="C919" s="18"/>
      <c r="I919" s="19"/>
      <c r="J919" s="19"/>
      <c r="P919" s="19"/>
    </row>
    <row r="920" spans="1:16" x14ac:dyDescent="0.3">
      <c r="A920" s="18"/>
      <c r="B920" s="18"/>
      <c r="C920" s="18"/>
      <c r="I920" s="19"/>
      <c r="J920" s="19"/>
      <c r="P920" s="19"/>
    </row>
    <row r="921" spans="1:16" x14ac:dyDescent="0.3">
      <c r="A921" s="18"/>
      <c r="B921" s="18"/>
      <c r="C921" s="18"/>
      <c r="I921" s="19"/>
      <c r="J921" s="19"/>
      <c r="P921" s="19"/>
    </row>
    <row r="922" spans="1:16" x14ac:dyDescent="0.3">
      <c r="A922" s="18"/>
      <c r="B922" s="18"/>
      <c r="C922" s="18"/>
      <c r="I922" s="19"/>
      <c r="J922" s="19"/>
      <c r="P922" s="19"/>
    </row>
    <row r="923" spans="1:16" x14ac:dyDescent="0.3">
      <c r="A923" s="18"/>
      <c r="B923" s="18"/>
      <c r="C923" s="18"/>
      <c r="I923" s="19"/>
      <c r="J923" s="19"/>
      <c r="P923" s="19"/>
    </row>
    <row r="924" spans="1:16" x14ac:dyDescent="0.3">
      <c r="A924" s="18"/>
      <c r="B924" s="18"/>
      <c r="C924" s="18"/>
      <c r="I924" s="19"/>
      <c r="J924" s="19"/>
      <c r="P924" s="19"/>
    </row>
    <row r="925" spans="1:16" x14ac:dyDescent="0.3">
      <c r="A925" s="18"/>
      <c r="B925" s="18"/>
      <c r="C925" s="18"/>
      <c r="I925" s="19"/>
      <c r="J925" s="19"/>
      <c r="P925" s="19"/>
    </row>
    <row r="926" spans="1:16" x14ac:dyDescent="0.3">
      <c r="A926" s="18"/>
      <c r="B926" s="18"/>
      <c r="C926" s="18"/>
      <c r="I926" s="19"/>
      <c r="J926" s="19"/>
      <c r="P926" s="19"/>
    </row>
    <row r="927" spans="1:16" x14ac:dyDescent="0.3">
      <c r="A927" s="18"/>
      <c r="B927" s="18"/>
      <c r="C927" s="18"/>
      <c r="I927" s="19"/>
      <c r="J927" s="19"/>
      <c r="P927" s="19"/>
    </row>
    <row r="928" spans="1:16" x14ac:dyDescent="0.3">
      <c r="A928" s="18"/>
      <c r="B928" s="18"/>
      <c r="C928" s="18"/>
      <c r="I928" s="19"/>
      <c r="J928" s="19"/>
      <c r="P928" s="19"/>
    </row>
    <row r="929" spans="1:16" x14ac:dyDescent="0.3">
      <c r="A929" s="18"/>
      <c r="B929" s="18"/>
      <c r="C929" s="18"/>
      <c r="I929" s="19"/>
      <c r="J929" s="19"/>
      <c r="P929" s="19"/>
    </row>
    <row r="930" spans="1:16" x14ac:dyDescent="0.3">
      <c r="A930" s="18"/>
      <c r="B930" s="18"/>
      <c r="C930" s="18"/>
      <c r="I930" s="19"/>
      <c r="J930" s="19"/>
      <c r="P930" s="19"/>
    </row>
    <row r="931" spans="1:16" x14ac:dyDescent="0.3">
      <c r="A931" s="18"/>
      <c r="B931" s="18"/>
      <c r="C931" s="18"/>
      <c r="I931" s="19"/>
      <c r="J931" s="19"/>
      <c r="P931" s="19"/>
    </row>
    <row r="932" spans="1:16" x14ac:dyDescent="0.3">
      <c r="A932" s="18"/>
      <c r="B932" s="18"/>
      <c r="C932" s="18"/>
      <c r="I932" s="19"/>
      <c r="J932" s="19"/>
      <c r="P932" s="19"/>
    </row>
    <row r="933" spans="1:16" x14ac:dyDescent="0.3">
      <c r="A933" s="18"/>
      <c r="B933" s="18"/>
      <c r="C933" s="18"/>
      <c r="I933" s="19"/>
      <c r="J933" s="19"/>
      <c r="P933" s="19"/>
    </row>
    <row r="934" spans="1:16" x14ac:dyDescent="0.3">
      <c r="A934" s="18"/>
      <c r="B934" s="18"/>
      <c r="C934" s="18"/>
      <c r="I934" s="19"/>
      <c r="J934" s="19"/>
      <c r="P934" s="19"/>
    </row>
    <row r="935" spans="1:16" x14ac:dyDescent="0.3">
      <c r="A935" s="18"/>
      <c r="B935" s="18"/>
      <c r="C935" s="18"/>
      <c r="I935" s="19"/>
      <c r="J935" s="19"/>
      <c r="P935" s="19"/>
    </row>
    <row r="936" spans="1:16" x14ac:dyDescent="0.3">
      <c r="A936" s="18"/>
      <c r="B936" s="18"/>
      <c r="C936" s="18"/>
      <c r="I936" s="19"/>
      <c r="J936" s="19"/>
      <c r="P936" s="19"/>
    </row>
    <row r="937" spans="1:16" x14ac:dyDescent="0.3">
      <c r="A937" s="18"/>
      <c r="B937" s="18"/>
      <c r="C937" s="18"/>
      <c r="I937" s="19"/>
      <c r="J937" s="19"/>
      <c r="P937" s="19"/>
    </row>
    <row r="938" spans="1:16" x14ac:dyDescent="0.3">
      <c r="A938" s="18"/>
      <c r="B938" s="18"/>
      <c r="C938" s="18"/>
      <c r="I938" s="19"/>
      <c r="J938" s="19"/>
      <c r="P938" s="19"/>
    </row>
    <row r="939" spans="1:16" x14ac:dyDescent="0.3">
      <c r="A939" s="18"/>
      <c r="B939" s="18"/>
      <c r="C939" s="18"/>
      <c r="I939" s="19"/>
      <c r="J939" s="19"/>
      <c r="P939" s="19"/>
    </row>
    <row r="940" spans="1:16" x14ac:dyDescent="0.3">
      <c r="A940" s="18"/>
      <c r="B940" s="18"/>
      <c r="C940" s="18"/>
      <c r="I940" s="19"/>
      <c r="J940" s="19"/>
      <c r="P940" s="19"/>
    </row>
    <row r="941" spans="1:16" x14ac:dyDescent="0.3">
      <c r="A941" s="18"/>
      <c r="B941" s="18"/>
      <c r="C941" s="18"/>
      <c r="I941" s="19"/>
      <c r="J941" s="19"/>
      <c r="P941" s="19"/>
    </row>
    <row r="942" spans="1:16" x14ac:dyDescent="0.3">
      <c r="A942" s="18"/>
      <c r="B942" s="18"/>
      <c r="C942" s="18"/>
      <c r="I942" s="19"/>
      <c r="J942" s="19"/>
      <c r="P942" s="19"/>
    </row>
    <row r="943" spans="1:16" x14ac:dyDescent="0.3">
      <c r="A943" s="18"/>
      <c r="B943" s="18"/>
      <c r="C943" s="18"/>
      <c r="I943" s="19"/>
      <c r="J943" s="19"/>
      <c r="P943" s="19"/>
    </row>
    <row r="944" spans="1:16" x14ac:dyDescent="0.3">
      <c r="A944" s="18"/>
      <c r="B944" s="18"/>
      <c r="C944" s="18"/>
      <c r="I944" s="19"/>
      <c r="J944" s="19"/>
      <c r="P944" s="19"/>
    </row>
    <row r="945" spans="1:16" x14ac:dyDescent="0.3">
      <c r="A945" s="18"/>
      <c r="B945" s="18"/>
      <c r="C945" s="18"/>
      <c r="I945" s="19"/>
      <c r="J945" s="19"/>
      <c r="P945" s="19"/>
    </row>
    <row r="946" spans="1:16" x14ac:dyDescent="0.3">
      <c r="A946" s="18"/>
      <c r="B946" s="18"/>
      <c r="C946" s="18"/>
      <c r="I946" s="19"/>
      <c r="J946" s="19"/>
      <c r="P946" s="19"/>
    </row>
    <row r="947" spans="1:16" x14ac:dyDescent="0.3">
      <c r="A947" s="18"/>
      <c r="B947" s="18"/>
      <c r="C947" s="18"/>
      <c r="I947" s="19"/>
      <c r="J947" s="19"/>
      <c r="P947" s="19"/>
    </row>
    <row r="948" spans="1:16" x14ac:dyDescent="0.3">
      <c r="A948" s="18"/>
      <c r="B948" s="18"/>
      <c r="C948" s="18"/>
      <c r="I948" s="19"/>
      <c r="J948" s="19"/>
      <c r="P948" s="19"/>
    </row>
    <row r="949" spans="1:16" x14ac:dyDescent="0.3">
      <c r="A949" s="18"/>
      <c r="B949" s="18"/>
      <c r="C949" s="18"/>
      <c r="I949" s="19"/>
      <c r="J949" s="19"/>
      <c r="P949" s="19"/>
    </row>
    <row r="950" spans="1:16" x14ac:dyDescent="0.3">
      <c r="A950" s="18"/>
      <c r="B950" s="18"/>
      <c r="C950" s="18"/>
      <c r="I950" s="19"/>
      <c r="J950" s="19"/>
      <c r="P950" s="19"/>
    </row>
    <row r="951" spans="1:16" x14ac:dyDescent="0.3">
      <c r="A951" s="18"/>
      <c r="B951" s="18"/>
      <c r="C951" s="18"/>
      <c r="I951" s="19"/>
      <c r="J951" s="19"/>
      <c r="P951" s="19"/>
    </row>
    <row r="952" spans="1:16" x14ac:dyDescent="0.3">
      <c r="A952" s="18"/>
      <c r="B952" s="18"/>
      <c r="C952" s="18"/>
      <c r="I952" s="19"/>
      <c r="J952" s="19"/>
      <c r="P952" s="19"/>
    </row>
    <row r="953" spans="1:16" x14ac:dyDescent="0.3">
      <c r="A953" s="18"/>
      <c r="B953" s="18"/>
      <c r="C953" s="18"/>
      <c r="I953" s="19"/>
      <c r="J953" s="19"/>
      <c r="P953" s="19"/>
    </row>
    <row r="954" spans="1:16" x14ac:dyDescent="0.3">
      <c r="A954" s="18"/>
      <c r="B954" s="18"/>
      <c r="C954" s="18"/>
      <c r="I954" s="19"/>
      <c r="J954" s="19"/>
      <c r="P954" s="19"/>
    </row>
    <row r="955" spans="1:16" x14ac:dyDescent="0.3">
      <c r="A955" s="18"/>
      <c r="B955" s="18"/>
      <c r="C955" s="18"/>
      <c r="I955" s="19"/>
      <c r="J955" s="19"/>
      <c r="P955" s="19"/>
    </row>
    <row r="956" spans="1:16" x14ac:dyDescent="0.3">
      <c r="A956" s="18"/>
      <c r="B956" s="18"/>
      <c r="C956" s="18"/>
      <c r="I956" s="19"/>
      <c r="J956" s="19"/>
      <c r="P956" s="19"/>
    </row>
    <row r="957" spans="1:16" x14ac:dyDescent="0.3">
      <c r="A957" s="18"/>
      <c r="B957" s="18"/>
      <c r="C957" s="18"/>
      <c r="I957" s="19"/>
      <c r="J957" s="19"/>
      <c r="P957" s="19"/>
    </row>
    <row r="958" spans="1:16" x14ac:dyDescent="0.3">
      <c r="A958" s="18"/>
      <c r="B958" s="18"/>
      <c r="C958" s="18"/>
      <c r="I958" s="19"/>
      <c r="J958" s="19"/>
      <c r="P958" s="19"/>
    </row>
    <row r="959" spans="1:16" x14ac:dyDescent="0.3">
      <c r="A959" s="18"/>
      <c r="B959" s="18"/>
      <c r="C959" s="18"/>
      <c r="I959" s="19"/>
      <c r="J959" s="19"/>
      <c r="P959" s="19"/>
    </row>
    <row r="960" spans="1:16" x14ac:dyDescent="0.3">
      <c r="A960" s="18"/>
      <c r="B960" s="18"/>
      <c r="C960" s="18"/>
      <c r="I960" s="19"/>
      <c r="J960" s="19"/>
      <c r="P960" s="19"/>
    </row>
    <row r="961" spans="1:16" x14ac:dyDescent="0.3">
      <c r="A961" s="18"/>
      <c r="B961" s="18"/>
      <c r="C961" s="18"/>
      <c r="I961" s="19"/>
      <c r="J961" s="19"/>
      <c r="P961" s="19"/>
    </row>
    <row r="962" spans="1:16" x14ac:dyDescent="0.3">
      <c r="A962" s="18"/>
      <c r="B962" s="18"/>
      <c r="C962" s="18"/>
      <c r="I962" s="19"/>
      <c r="J962" s="19"/>
      <c r="P962" s="19"/>
    </row>
    <row r="963" spans="1:16" x14ac:dyDescent="0.3">
      <c r="A963" s="18"/>
      <c r="B963" s="18"/>
      <c r="C963" s="18"/>
      <c r="I963" s="19"/>
      <c r="J963" s="19"/>
      <c r="P963" s="19"/>
    </row>
    <row r="964" spans="1:16" x14ac:dyDescent="0.3">
      <c r="A964" s="18"/>
      <c r="B964" s="18"/>
      <c r="C964" s="18"/>
      <c r="I964" s="19"/>
      <c r="J964" s="19"/>
      <c r="P964" s="19"/>
    </row>
    <row r="965" spans="1:16" x14ac:dyDescent="0.3">
      <c r="A965" s="18"/>
      <c r="B965" s="18"/>
      <c r="C965" s="18"/>
      <c r="I965" s="19"/>
      <c r="J965" s="19"/>
      <c r="P965" s="19"/>
    </row>
    <row r="966" spans="1:16" x14ac:dyDescent="0.3">
      <c r="A966" s="18"/>
      <c r="B966" s="18"/>
      <c r="C966" s="18"/>
      <c r="I966" s="19"/>
      <c r="J966" s="19"/>
      <c r="P966" s="19"/>
    </row>
    <row r="967" spans="1:16" x14ac:dyDescent="0.3">
      <c r="A967" s="18"/>
      <c r="B967" s="18"/>
      <c r="C967" s="18"/>
      <c r="I967" s="19"/>
      <c r="J967" s="19"/>
      <c r="P967" s="19"/>
    </row>
    <row r="968" spans="1:16" x14ac:dyDescent="0.3">
      <c r="A968" s="18"/>
      <c r="B968" s="18"/>
      <c r="C968" s="18"/>
      <c r="I968" s="19"/>
      <c r="J968" s="19"/>
      <c r="P968" s="19"/>
    </row>
    <row r="969" spans="1:16" x14ac:dyDescent="0.3">
      <c r="A969" s="18"/>
      <c r="B969" s="18"/>
      <c r="C969" s="18"/>
      <c r="I969" s="19"/>
      <c r="J969" s="19"/>
      <c r="P969" s="19"/>
    </row>
    <row r="970" spans="1:16" x14ac:dyDescent="0.3">
      <c r="A970" s="18"/>
      <c r="B970" s="18"/>
      <c r="C970" s="18"/>
      <c r="I970" s="19"/>
      <c r="J970" s="19"/>
      <c r="P970" s="19"/>
    </row>
    <row r="971" spans="1:16" x14ac:dyDescent="0.3">
      <c r="A971" s="18"/>
      <c r="B971" s="18"/>
      <c r="C971" s="18"/>
      <c r="I971" s="19"/>
      <c r="J971" s="19"/>
      <c r="P971" s="19"/>
    </row>
    <row r="972" spans="1:16" x14ac:dyDescent="0.3">
      <c r="A972" s="18"/>
      <c r="B972" s="18"/>
      <c r="C972" s="18"/>
      <c r="I972" s="19"/>
      <c r="J972" s="19"/>
      <c r="P972" s="19"/>
    </row>
    <row r="973" spans="1:16" x14ac:dyDescent="0.3">
      <c r="A973" s="18"/>
      <c r="B973" s="18"/>
      <c r="C973" s="18"/>
      <c r="I973" s="19"/>
      <c r="J973" s="19"/>
      <c r="P973" s="19"/>
    </row>
    <row r="974" spans="1:16" x14ac:dyDescent="0.3">
      <c r="A974" s="18"/>
      <c r="B974" s="18"/>
      <c r="C974" s="18"/>
      <c r="I974" s="19"/>
      <c r="J974" s="19"/>
      <c r="P974" s="19"/>
    </row>
    <row r="975" spans="1:16" x14ac:dyDescent="0.3">
      <c r="A975" s="18"/>
      <c r="B975" s="18"/>
      <c r="C975" s="18"/>
      <c r="I975" s="19"/>
      <c r="J975" s="19"/>
      <c r="P975" s="19"/>
    </row>
    <row r="976" spans="1:16" x14ac:dyDescent="0.3">
      <c r="A976" s="18"/>
      <c r="B976" s="18"/>
      <c r="C976" s="18"/>
      <c r="I976" s="19"/>
      <c r="J976" s="19"/>
      <c r="P976" s="19"/>
    </row>
    <row r="977" spans="1:16" x14ac:dyDescent="0.3">
      <c r="A977" s="18"/>
      <c r="B977" s="18"/>
      <c r="C977" s="18"/>
      <c r="I977" s="19"/>
      <c r="J977" s="19"/>
      <c r="P977" s="19"/>
    </row>
    <row r="978" spans="1:16" x14ac:dyDescent="0.3">
      <c r="A978" s="18"/>
      <c r="B978" s="18"/>
      <c r="C978" s="18"/>
      <c r="I978" s="19"/>
      <c r="J978" s="19"/>
      <c r="P978" s="19"/>
    </row>
    <row r="979" spans="1:16" x14ac:dyDescent="0.3">
      <c r="A979" s="18"/>
      <c r="B979" s="18"/>
      <c r="C979" s="18"/>
      <c r="I979" s="19"/>
      <c r="J979" s="19"/>
      <c r="P979" s="19"/>
    </row>
    <row r="980" spans="1:16" x14ac:dyDescent="0.3">
      <c r="A980" s="18"/>
      <c r="B980" s="18"/>
      <c r="C980" s="18"/>
      <c r="I980" s="19"/>
      <c r="J980" s="19"/>
      <c r="P980" s="19"/>
    </row>
    <row r="981" spans="1:16" x14ac:dyDescent="0.3">
      <c r="A981" s="18"/>
      <c r="B981" s="18"/>
      <c r="C981" s="18"/>
      <c r="I981" s="19"/>
      <c r="J981" s="19"/>
      <c r="P981" s="19"/>
    </row>
    <row r="982" spans="1:16" x14ac:dyDescent="0.3">
      <c r="A982" s="18"/>
      <c r="B982" s="18"/>
      <c r="C982" s="18"/>
      <c r="I982" s="19"/>
      <c r="J982" s="19"/>
      <c r="P982" s="19"/>
    </row>
    <row r="983" spans="1:16" x14ac:dyDescent="0.3">
      <c r="A983" s="18"/>
      <c r="B983" s="18"/>
      <c r="C983" s="18"/>
      <c r="I983" s="19"/>
      <c r="J983" s="19"/>
      <c r="P983" s="19"/>
    </row>
    <row r="984" spans="1:16" x14ac:dyDescent="0.3">
      <c r="A984" s="18"/>
      <c r="B984" s="18"/>
      <c r="C984" s="18"/>
      <c r="I984" s="19"/>
      <c r="J984" s="19"/>
      <c r="P984" s="19"/>
    </row>
    <row r="985" spans="1:16" x14ac:dyDescent="0.3">
      <c r="A985" s="18"/>
      <c r="B985" s="18"/>
      <c r="C985" s="18"/>
      <c r="I985" s="19"/>
      <c r="J985" s="19"/>
      <c r="P985" s="19"/>
    </row>
    <row r="986" spans="1:16" x14ac:dyDescent="0.3">
      <c r="A986" s="18"/>
      <c r="B986" s="18"/>
      <c r="C986" s="18"/>
      <c r="I986" s="19"/>
      <c r="J986" s="19"/>
      <c r="P986" s="19"/>
    </row>
    <row r="987" spans="1:16" x14ac:dyDescent="0.3">
      <c r="A987" s="18"/>
      <c r="B987" s="18"/>
      <c r="C987" s="18"/>
      <c r="I987" s="19"/>
      <c r="J987" s="19"/>
      <c r="P987" s="19"/>
    </row>
    <row r="988" spans="1:16" x14ac:dyDescent="0.3">
      <c r="A988" s="18"/>
      <c r="B988" s="18"/>
      <c r="C988" s="18"/>
      <c r="I988" s="19"/>
      <c r="J988" s="19"/>
      <c r="P988" s="19"/>
    </row>
    <row r="989" spans="1:16" x14ac:dyDescent="0.3">
      <c r="A989" s="18"/>
      <c r="B989" s="18"/>
      <c r="C989" s="18"/>
      <c r="I989" s="19"/>
      <c r="J989" s="19"/>
      <c r="P989" s="19"/>
    </row>
    <row r="990" spans="1:16" x14ac:dyDescent="0.3">
      <c r="A990" s="18"/>
      <c r="B990" s="18"/>
      <c r="C990" s="18"/>
      <c r="I990" s="19"/>
      <c r="J990" s="19"/>
      <c r="P990" s="19"/>
    </row>
    <row r="991" spans="1:16" x14ac:dyDescent="0.3">
      <c r="A991" s="18"/>
      <c r="B991" s="18"/>
      <c r="C991" s="18"/>
      <c r="I991" s="19"/>
      <c r="J991" s="19"/>
      <c r="P991" s="19"/>
    </row>
    <row r="992" spans="1:16" x14ac:dyDescent="0.3">
      <c r="A992" s="18"/>
      <c r="B992" s="18"/>
      <c r="C992" s="18"/>
      <c r="I992" s="19"/>
      <c r="J992" s="19"/>
      <c r="P992" s="19"/>
    </row>
    <row r="993" spans="1:16" x14ac:dyDescent="0.3">
      <c r="A993" s="18"/>
      <c r="B993" s="18"/>
      <c r="C993" s="18"/>
      <c r="I993" s="19"/>
      <c r="J993" s="19"/>
      <c r="P993" s="19"/>
    </row>
    <row r="994" spans="1:16" x14ac:dyDescent="0.3">
      <c r="A994" s="18"/>
      <c r="B994" s="18"/>
      <c r="C994" s="18"/>
      <c r="I994" s="19"/>
      <c r="J994" s="19"/>
      <c r="P994" s="19"/>
    </row>
    <row r="995" spans="1:16" x14ac:dyDescent="0.3">
      <c r="A995" s="18"/>
      <c r="B995" s="18"/>
      <c r="C995" s="18"/>
      <c r="I995" s="19"/>
      <c r="J995" s="19"/>
      <c r="P995" s="19"/>
    </row>
    <row r="996" spans="1:16" x14ac:dyDescent="0.3">
      <c r="A996" s="18"/>
      <c r="B996" s="18"/>
      <c r="C996" s="18"/>
      <c r="I996" s="19"/>
      <c r="J996" s="19"/>
      <c r="P996" s="19"/>
    </row>
    <row r="997" spans="1:16" x14ac:dyDescent="0.3">
      <c r="A997" s="18"/>
      <c r="B997" s="18"/>
      <c r="C997" s="18"/>
      <c r="I997" s="19"/>
      <c r="J997" s="19"/>
      <c r="P997" s="19"/>
    </row>
    <row r="998" spans="1:16" x14ac:dyDescent="0.3">
      <c r="A998" s="18"/>
      <c r="B998" s="18"/>
      <c r="C998" s="18"/>
      <c r="I998" s="19"/>
      <c r="J998" s="19"/>
      <c r="P998" s="19"/>
    </row>
    <row r="999" spans="1:16" x14ac:dyDescent="0.3">
      <c r="A999" s="18"/>
      <c r="B999" s="18"/>
      <c r="C999" s="18"/>
      <c r="I999" s="19"/>
      <c r="J999" s="19"/>
      <c r="P999" s="19"/>
    </row>
    <row r="1000" spans="1:16" x14ac:dyDescent="0.3">
      <c r="A1000" s="18"/>
      <c r="B1000" s="18"/>
      <c r="C1000" s="18"/>
      <c r="I1000" s="19"/>
      <c r="J1000" s="19"/>
      <c r="P1000" s="19"/>
    </row>
    <row r="1001" spans="1:16" x14ac:dyDescent="0.3">
      <c r="A1001" s="18"/>
      <c r="B1001" s="18"/>
      <c r="C1001" s="18"/>
      <c r="I1001" s="19"/>
      <c r="J1001" s="19"/>
      <c r="P1001" s="19"/>
    </row>
    <row r="1002" spans="1:16" x14ac:dyDescent="0.3">
      <c r="A1002" s="18"/>
      <c r="B1002" s="18"/>
      <c r="C1002" s="18"/>
      <c r="I1002" s="19"/>
      <c r="J1002" s="19"/>
      <c r="P1002" s="19"/>
    </row>
    <row r="1003" spans="1:16" x14ac:dyDescent="0.3">
      <c r="A1003" s="18"/>
      <c r="B1003" s="18"/>
      <c r="C1003" s="18"/>
      <c r="I1003" s="19"/>
      <c r="J1003" s="19"/>
      <c r="P1003" s="19"/>
    </row>
    <row r="1004" spans="1:16" x14ac:dyDescent="0.3">
      <c r="A1004" s="18"/>
      <c r="B1004" s="18"/>
      <c r="C1004" s="18"/>
      <c r="I1004" s="19"/>
      <c r="J1004" s="19"/>
      <c r="P1004" s="19"/>
    </row>
    <row r="1005" spans="1:16" x14ac:dyDescent="0.3">
      <c r="A1005" s="18"/>
      <c r="B1005" s="18"/>
      <c r="C1005" s="18"/>
      <c r="I1005" s="19"/>
      <c r="J1005" s="19"/>
      <c r="P1005" s="19"/>
    </row>
    <row r="1006" spans="1:16" x14ac:dyDescent="0.3">
      <c r="A1006" s="18"/>
      <c r="B1006" s="18"/>
      <c r="C1006" s="18"/>
      <c r="I1006" s="19"/>
      <c r="J1006" s="19"/>
      <c r="P1006" s="19"/>
    </row>
    <row r="1007" spans="1:16" x14ac:dyDescent="0.3">
      <c r="A1007" s="18"/>
      <c r="B1007" s="18"/>
      <c r="C1007" s="18"/>
      <c r="I1007" s="19"/>
      <c r="J1007" s="19"/>
      <c r="P1007" s="19"/>
    </row>
    <row r="1008" spans="1:16" x14ac:dyDescent="0.3">
      <c r="A1008" s="18"/>
      <c r="B1008" s="18"/>
      <c r="C1008" s="18"/>
      <c r="I1008" s="19"/>
      <c r="J1008" s="19"/>
      <c r="P1008" s="19"/>
    </row>
    <row r="1009" spans="1:16" x14ac:dyDescent="0.3">
      <c r="A1009" s="18"/>
      <c r="B1009" s="18"/>
      <c r="C1009" s="18"/>
      <c r="I1009" s="19"/>
      <c r="J1009" s="19"/>
      <c r="P1009" s="19"/>
    </row>
    <row r="1010" spans="1:16" x14ac:dyDescent="0.3">
      <c r="A1010" s="18"/>
      <c r="B1010" s="18"/>
      <c r="C1010" s="18"/>
      <c r="I1010" s="19"/>
      <c r="J1010" s="19"/>
      <c r="P1010" s="19"/>
    </row>
    <row r="1011" spans="1:16" x14ac:dyDescent="0.3">
      <c r="A1011" s="18"/>
      <c r="B1011" s="18"/>
      <c r="C1011" s="18"/>
      <c r="I1011" s="19"/>
      <c r="J1011" s="19"/>
      <c r="P1011" s="19"/>
    </row>
    <row r="1012" spans="1:16" x14ac:dyDescent="0.3">
      <c r="A1012" s="18"/>
      <c r="B1012" s="18"/>
      <c r="C1012" s="18"/>
      <c r="I1012" s="19"/>
      <c r="J1012" s="19"/>
      <c r="P1012" s="19"/>
    </row>
    <row r="1013" spans="1:16" x14ac:dyDescent="0.3">
      <c r="A1013" s="18"/>
      <c r="B1013" s="18"/>
      <c r="C1013" s="18"/>
      <c r="I1013" s="19"/>
      <c r="J1013" s="19"/>
      <c r="P1013" s="19"/>
    </row>
    <row r="1014" spans="1:16" x14ac:dyDescent="0.3">
      <c r="A1014" s="18"/>
      <c r="B1014" s="18"/>
      <c r="C1014" s="18"/>
      <c r="I1014" s="19"/>
      <c r="J1014" s="19"/>
      <c r="P1014" s="19"/>
    </row>
    <row r="1015" spans="1:16" x14ac:dyDescent="0.3">
      <c r="A1015" s="18"/>
      <c r="B1015" s="18"/>
      <c r="C1015" s="18"/>
      <c r="I1015" s="19"/>
      <c r="J1015" s="19"/>
      <c r="P1015" s="19"/>
    </row>
    <row r="1016" spans="1:16" x14ac:dyDescent="0.3">
      <c r="A1016" s="18"/>
      <c r="B1016" s="18"/>
      <c r="C1016" s="18"/>
      <c r="I1016" s="19"/>
      <c r="J1016" s="19"/>
      <c r="P1016" s="19"/>
    </row>
    <row r="1017" spans="1:16" x14ac:dyDescent="0.3">
      <c r="A1017" s="18"/>
      <c r="B1017" s="18"/>
      <c r="C1017" s="18"/>
      <c r="I1017" s="19"/>
      <c r="J1017" s="19"/>
      <c r="P1017" s="19"/>
    </row>
    <row r="1018" spans="1:16" x14ac:dyDescent="0.3">
      <c r="A1018" s="18"/>
      <c r="B1018" s="18"/>
      <c r="C1018" s="18"/>
      <c r="I1018" s="19"/>
      <c r="J1018" s="19"/>
      <c r="P1018" s="19"/>
    </row>
    <row r="1019" spans="1:16" x14ac:dyDescent="0.3">
      <c r="A1019" s="18"/>
      <c r="B1019" s="18"/>
      <c r="C1019" s="18"/>
      <c r="I1019" s="19"/>
      <c r="J1019" s="19"/>
      <c r="P1019" s="19"/>
    </row>
    <row r="1020" spans="1:16" x14ac:dyDescent="0.3">
      <c r="A1020" s="18"/>
      <c r="B1020" s="18"/>
      <c r="C1020" s="18"/>
      <c r="I1020" s="19"/>
      <c r="J1020" s="19"/>
      <c r="P1020" s="19"/>
    </row>
    <row r="1021" spans="1:16" x14ac:dyDescent="0.3">
      <c r="A1021" s="18"/>
      <c r="B1021" s="18"/>
      <c r="C1021" s="18"/>
      <c r="I1021" s="19"/>
      <c r="J1021" s="19"/>
      <c r="P1021" s="19"/>
    </row>
    <row r="1022" spans="1:16" x14ac:dyDescent="0.3">
      <c r="A1022" s="18"/>
      <c r="B1022" s="18"/>
      <c r="C1022" s="18"/>
      <c r="I1022" s="19"/>
      <c r="J1022" s="19"/>
      <c r="P1022" s="19"/>
    </row>
    <row r="1023" spans="1:16" x14ac:dyDescent="0.3">
      <c r="A1023" s="18"/>
      <c r="B1023" s="18"/>
      <c r="C1023" s="18"/>
      <c r="I1023" s="19"/>
      <c r="J1023" s="19"/>
      <c r="P1023" s="19"/>
    </row>
    <row r="1024" spans="1:16" x14ac:dyDescent="0.3">
      <c r="A1024" s="18"/>
      <c r="B1024" s="18"/>
      <c r="C1024" s="18"/>
      <c r="I1024" s="19"/>
      <c r="J1024" s="19"/>
      <c r="P1024" s="19"/>
    </row>
    <row r="1025" spans="1:16" x14ac:dyDescent="0.3">
      <c r="A1025" s="18"/>
      <c r="B1025" s="18"/>
      <c r="C1025" s="18"/>
      <c r="I1025" s="19"/>
      <c r="J1025" s="19"/>
      <c r="P1025" s="19"/>
    </row>
    <row r="1026" spans="1:16" x14ac:dyDescent="0.3">
      <c r="A1026" s="18"/>
      <c r="B1026" s="18"/>
      <c r="C1026" s="18"/>
      <c r="I1026" s="19"/>
      <c r="J1026" s="19"/>
      <c r="P1026" s="19"/>
    </row>
    <row r="1027" spans="1:16" x14ac:dyDescent="0.3">
      <c r="A1027" s="18"/>
      <c r="B1027" s="18"/>
      <c r="C1027" s="18"/>
      <c r="I1027" s="19"/>
      <c r="J1027" s="19"/>
      <c r="P1027" s="19"/>
    </row>
    <row r="1028" spans="1:16" x14ac:dyDescent="0.3">
      <c r="A1028" s="18"/>
      <c r="B1028" s="18"/>
      <c r="C1028" s="18"/>
      <c r="I1028" s="19"/>
      <c r="J1028" s="19"/>
      <c r="P1028" s="19"/>
    </row>
    <row r="1029" spans="1:16" x14ac:dyDescent="0.3">
      <c r="A1029" s="18"/>
      <c r="B1029" s="18"/>
      <c r="C1029" s="18"/>
      <c r="I1029" s="19"/>
      <c r="J1029" s="19"/>
      <c r="P1029" s="19"/>
    </row>
    <row r="1030" spans="1:16" x14ac:dyDescent="0.3">
      <c r="A1030" s="18"/>
      <c r="B1030" s="18"/>
      <c r="C1030" s="18"/>
      <c r="I1030" s="19"/>
      <c r="J1030" s="19"/>
      <c r="P1030" s="19"/>
    </row>
    <row r="1031" spans="1:16" x14ac:dyDescent="0.3">
      <c r="A1031" s="18"/>
      <c r="B1031" s="18"/>
      <c r="C1031" s="18"/>
      <c r="I1031" s="19"/>
      <c r="J1031" s="19"/>
      <c r="P1031" s="19"/>
    </row>
    <row r="1032" spans="1:16" x14ac:dyDescent="0.3">
      <c r="A1032" s="18"/>
      <c r="B1032" s="18"/>
      <c r="C1032" s="18"/>
      <c r="I1032" s="19"/>
      <c r="J1032" s="19"/>
      <c r="P1032" s="19"/>
    </row>
    <row r="1033" spans="1:16" x14ac:dyDescent="0.3">
      <c r="A1033" s="18"/>
      <c r="B1033" s="18"/>
      <c r="C1033" s="18"/>
      <c r="I1033" s="19"/>
      <c r="J1033" s="19"/>
      <c r="P1033" s="19"/>
    </row>
    <row r="1034" spans="1:16" x14ac:dyDescent="0.3">
      <c r="A1034" s="18"/>
      <c r="B1034" s="18"/>
      <c r="C1034" s="18"/>
      <c r="I1034" s="19"/>
      <c r="J1034" s="19"/>
      <c r="P1034" s="19"/>
    </row>
    <row r="1035" spans="1:16" x14ac:dyDescent="0.3">
      <c r="A1035" s="18"/>
      <c r="B1035" s="18"/>
      <c r="C1035" s="18"/>
      <c r="I1035" s="19"/>
      <c r="J1035" s="19"/>
      <c r="P1035" s="19"/>
    </row>
    <row r="1036" spans="1:16" x14ac:dyDescent="0.3">
      <c r="A1036" s="18"/>
      <c r="B1036" s="18"/>
      <c r="C1036" s="18"/>
      <c r="I1036" s="19"/>
      <c r="J1036" s="19"/>
      <c r="P1036" s="19"/>
    </row>
    <row r="1037" spans="1:16" x14ac:dyDescent="0.3">
      <c r="A1037" s="18"/>
      <c r="B1037" s="18"/>
      <c r="C1037" s="18"/>
      <c r="I1037" s="19"/>
      <c r="J1037" s="19"/>
      <c r="P1037" s="19"/>
    </row>
    <row r="1038" spans="1:16" x14ac:dyDescent="0.3">
      <c r="A1038" s="18"/>
      <c r="B1038" s="18"/>
      <c r="C1038" s="18"/>
      <c r="I1038" s="19"/>
      <c r="J1038" s="19"/>
      <c r="P1038" s="19"/>
    </row>
    <row r="1039" spans="1:16" x14ac:dyDescent="0.3">
      <c r="A1039" s="18"/>
      <c r="B1039" s="18"/>
      <c r="C1039" s="18"/>
      <c r="I1039" s="19"/>
      <c r="J1039" s="19"/>
      <c r="P1039" s="19"/>
    </row>
    <row r="1040" spans="1:16" x14ac:dyDescent="0.3">
      <c r="A1040" s="18"/>
      <c r="B1040" s="18"/>
      <c r="C1040" s="18"/>
      <c r="I1040" s="19"/>
      <c r="J1040" s="19"/>
      <c r="P1040" s="19"/>
    </row>
    <row r="1041" spans="1:16" x14ac:dyDescent="0.3">
      <c r="A1041" s="18"/>
      <c r="B1041" s="18"/>
      <c r="C1041" s="18"/>
      <c r="I1041" s="19"/>
      <c r="J1041" s="19"/>
      <c r="P1041" s="19"/>
    </row>
    <row r="1042" spans="1:16" x14ac:dyDescent="0.3">
      <c r="A1042" s="18"/>
      <c r="B1042" s="18"/>
      <c r="C1042" s="18"/>
      <c r="I1042" s="19"/>
      <c r="J1042" s="19"/>
      <c r="P1042" s="19"/>
    </row>
    <row r="1043" spans="1:16" x14ac:dyDescent="0.3">
      <c r="A1043" s="18"/>
      <c r="B1043" s="18"/>
      <c r="C1043" s="18"/>
      <c r="I1043" s="19"/>
      <c r="J1043" s="19"/>
      <c r="P1043" s="19"/>
    </row>
    <row r="1044" spans="1:16" x14ac:dyDescent="0.3">
      <c r="A1044" s="18"/>
      <c r="B1044" s="18"/>
      <c r="C1044" s="18"/>
      <c r="I1044" s="19"/>
      <c r="J1044" s="19"/>
      <c r="P1044" s="19"/>
    </row>
    <row r="1045" spans="1:16" x14ac:dyDescent="0.3">
      <c r="A1045" s="18"/>
      <c r="B1045" s="18"/>
      <c r="C1045" s="18"/>
      <c r="I1045" s="19"/>
      <c r="J1045" s="19"/>
      <c r="P1045" s="19"/>
    </row>
    <row r="1046" spans="1:16" x14ac:dyDescent="0.3">
      <c r="A1046" s="18"/>
      <c r="B1046" s="18"/>
      <c r="C1046" s="18"/>
      <c r="I1046" s="19"/>
      <c r="J1046" s="19"/>
      <c r="P1046" s="19"/>
    </row>
    <row r="1047" spans="1:16" x14ac:dyDescent="0.3">
      <c r="A1047" s="18"/>
      <c r="B1047" s="18"/>
      <c r="C1047" s="18"/>
      <c r="I1047" s="19"/>
      <c r="J1047" s="19"/>
      <c r="P1047" s="19"/>
    </row>
    <row r="1048" spans="1:16" x14ac:dyDescent="0.3">
      <c r="A1048" s="18"/>
      <c r="B1048" s="18"/>
      <c r="C1048" s="18"/>
      <c r="I1048" s="19"/>
      <c r="J1048" s="19"/>
      <c r="P1048" s="19"/>
    </row>
    <row r="1049" spans="1:16" x14ac:dyDescent="0.3">
      <c r="A1049" s="18"/>
      <c r="B1049" s="18"/>
      <c r="C1049" s="18"/>
      <c r="I1049" s="19"/>
      <c r="J1049" s="19"/>
      <c r="P1049" s="19"/>
    </row>
    <row r="1050" spans="1:16" x14ac:dyDescent="0.3">
      <c r="A1050" s="18"/>
      <c r="B1050" s="18"/>
      <c r="C1050" s="18"/>
      <c r="I1050" s="19"/>
      <c r="J1050" s="19"/>
      <c r="P1050" s="19"/>
    </row>
    <row r="1051" spans="1:16" x14ac:dyDescent="0.3">
      <c r="A1051" s="18"/>
      <c r="B1051" s="18"/>
      <c r="C1051" s="18"/>
      <c r="I1051" s="19"/>
      <c r="J1051" s="19"/>
      <c r="P1051" s="19"/>
    </row>
    <row r="1052" spans="1:16" x14ac:dyDescent="0.3">
      <c r="A1052" s="18"/>
      <c r="B1052" s="18"/>
      <c r="C1052" s="18"/>
      <c r="I1052" s="19"/>
      <c r="J1052" s="19"/>
      <c r="P1052" s="19"/>
    </row>
    <row r="1053" spans="1:16" x14ac:dyDescent="0.3">
      <c r="A1053" s="18"/>
      <c r="B1053" s="18"/>
      <c r="C1053" s="18"/>
      <c r="I1053" s="19"/>
      <c r="J1053" s="19"/>
      <c r="P1053" s="19"/>
    </row>
    <row r="1054" spans="1:16" x14ac:dyDescent="0.3">
      <c r="A1054" s="18"/>
      <c r="B1054" s="18"/>
      <c r="C1054" s="18"/>
      <c r="I1054" s="19"/>
      <c r="J1054" s="19"/>
      <c r="P1054" s="19"/>
    </row>
    <row r="1055" spans="1:16" x14ac:dyDescent="0.3">
      <c r="A1055" s="18"/>
      <c r="B1055" s="18"/>
      <c r="C1055" s="18"/>
      <c r="I1055" s="19"/>
      <c r="J1055" s="19"/>
      <c r="P1055" s="19"/>
    </row>
    <row r="1056" spans="1:16" x14ac:dyDescent="0.3">
      <c r="A1056" s="18"/>
      <c r="B1056" s="18"/>
      <c r="C1056" s="18"/>
      <c r="I1056" s="19"/>
      <c r="J1056" s="19"/>
      <c r="P1056" s="19"/>
    </row>
    <row r="1057" spans="1:16" x14ac:dyDescent="0.3">
      <c r="A1057" s="18"/>
      <c r="B1057" s="18"/>
      <c r="C1057" s="18"/>
      <c r="I1057" s="19"/>
      <c r="J1057" s="19"/>
      <c r="P1057" s="19"/>
    </row>
    <row r="1058" spans="1:16" x14ac:dyDescent="0.3">
      <c r="A1058" s="18"/>
      <c r="B1058" s="18"/>
      <c r="C1058" s="18"/>
      <c r="I1058" s="19"/>
      <c r="J1058" s="19"/>
      <c r="P1058" s="19"/>
    </row>
    <row r="1059" spans="1:16" x14ac:dyDescent="0.3">
      <c r="A1059" s="18"/>
      <c r="B1059" s="18"/>
      <c r="C1059" s="18"/>
      <c r="I1059" s="19"/>
      <c r="J1059" s="19"/>
      <c r="P1059" s="19"/>
    </row>
    <row r="1060" spans="1:16" x14ac:dyDescent="0.3">
      <c r="A1060" s="18"/>
      <c r="B1060" s="18"/>
      <c r="C1060" s="18"/>
      <c r="I1060" s="19"/>
      <c r="J1060" s="19"/>
      <c r="P1060" s="19"/>
    </row>
    <row r="1061" spans="1:16" x14ac:dyDescent="0.3">
      <c r="A1061" s="18"/>
      <c r="B1061" s="18"/>
      <c r="C1061" s="18"/>
      <c r="I1061" s="19"/>
      <c r="J1061" s="19"/>
      <c r="P1061" s="19"/>
    </row>
    <row r="1062" spans="1:16" x14ac:dyDescent="0.3">
      <c r="A1062" s="18"/>
      <c r="B1062" s="18"/>
      <c r="C1062" s="18"/>
      <c r="I1062" s="19"/>
      <c r="J1062" s="19"/>
      <c r="P1062" s="19"/>
    </row>
    <row r="1063" spans="1:16" x14ac:dyDescent="0.3">
      <c r="A1063" s="18"/>
      <c r="B1063" s="18"/>
      <c r="C1063" s="18"/>
      <c r="I1063" s="19"/>
      <c r="J1063" s="19"/>
      <c r="P1063" s="19"/>
    </row>
    <row r="1064" spans="1:16" x14ac:dyDescent="0.3">
      <c r="A1064" s="18"/>
      <c r="B1064" s="18"/>
      <c r="C1064" s="18"/>
      <c r="I1064" s="19"/>
      <c r="J1064" s="19"/>
      <c r="P1064" s="19"/>
    </row>
    <row r="1065" spans="1:16" x14ac:dyDescent="0.3">
      <c r="A1065" s="18"/>
      <c r="B1065" s="18"/>
      <c r="C1065" s="18"/>
      <c r="I1065" s="19"/>
      <c r="J1065" s="19"/>
      <c r="P1065" s="19"/>
    </row>
    <row r="1066" spans="1:16" x14ac:dyDescent="0.3">
      <c r="A1066" s="18"/>
      <c r="B1066" s="18"/>
      <c r="C1066" s="18"/>
      <c r="I1066" s="19"/>
      <c r="J1066" s="19"/>
      <c r="P1066" s="19"/>
    </row>
    <row r="1067" spans="1:16" x14ac:dyDescent="0.3">
      <c r="A1067" s="18"/>
      <c r="B1067" s="18"/>
      <c r="C1067" s="18"/>
      <c r="I1067" s="19"/>
      <c r="J1067" s="19"/>
      <c r="P1067" s="19"/>
    </row>
    <row r="1068" spans="1:16" x14ac:dyDescent="0.3">
      <c r="A1068" s="18"/>
      <c r="B1068" s="18"/>
      <c r="C1068" s="18"/>
      <c r="I1068" s="19"/>
      <c r="J1068" s="19"/>
      <c r="P1068" s="19"/>
    </row>
    <row r="1069" spans="1:16" x14ac:dyDescent="0.3">
      <c r="A1069" s="18"/>
      <c r="B1069" s="18"/>
      <c r="C1069" s="18"/>
      <c r="I1069" s="19"/>
      <c r="J1069" s="19"/>
      <c r="P1069" s="19"/>
    </row>
    <row r="1070" spans="1:16" x14ac:dyDescent="0.3">
      <c r="A1070" s="18"/>
      <c r="B1070" s="18"/>
      <c r="C1070" s="18"/>
      <c r="I1070" s="19"/>
      <c r="J1070" s="19"/>
      <c r="P1070" s="19"/>
    </row>
    <row r="1071" spans="1:16" x14ac:dyDescent="0.3">
      <c r="A1071" s="18"/>
      <c r="B1071" s="18"/>
      <c r="C1071" s="18"/>
      <c r="I1071" s="19"/>
      <c r="J1071" s="19"/>
      <c r="P1071" s="19"/>
    </row>
    <row r="1072" spans="1:16" x14ac:dyDescent="0.3">
      <c r="A1072" s="18"/>
      <c r="B1072" s="18"/>
      <c r="C1072" s="18"/>
      <c r="I1072" s="19"/>
      <c r="J1072" s="19"/>
      <c r="P1072" s="19"/>
    </row>
    <row r="1073" spans="1:16" x14ac:dyDescent="0.3">
      <c r="A1073" s="18"/>
      <c r="B1073" s="18"/>
      <c r="C1073" s="18"/>
      <c r="I1073" s="19"/>
      <c r="J1073" s="19"/>
      <c r="P1073" s="19"/>
    </row>
    <row r="1074" spans="1:16" x14ac:dyDescent="0.3">
      <c r="A1074" s="18"/>
      <c r="B1074" s="18"/>
      <c r="C1074" s="18"/>
      <c r="I1074" s="19"/>
      <c r="J1074" s="19"/>
      <c r="P1074" s="19"/>
    </row>
    <row r="1075" spans="1:16" x14ac:dyDescent="0.3">
      <c r="A1075" s="18"/>
      <c r="B1075" s="18"/>
      <c r="C1075" s="18"/>
      <c r="I1075" s="19"/>
      <c r="J1075" s="19"/>
      <c r="P1075" s="19"/>
    </row>
    <row r="1076" spans="1:16" x14ac:dyDescent="0.3">
      <c r="A1076" s="18"/>
      <c r="B1076" s="18"/>
      <c r="C1076" s="18"/>
      <c r="I1076" s="19"/>
      <c r="J1076" s="19"/>
      <c r="P1076" s="19"/>
    </row>
    <row r="1077" spans="1:16" x14ac:dyDescent="0.3">
      <c r="A1077" s="18"/>
      <c r="B1077" s="18"/>
      <c r="C1077" s="18"/>
      <c r="I1077" s="19"/>
      <c r="J1077" s="19"/>
      <c r="P1077" s="19"/>
    </row>
    <row r="1078" spans="1:16" x14ac:dyDescent="0.3">
      <c r="A1078" s="18"/>
      <c r="B1078" s="18"/>
      <c r="C1078" s="18"/>
      <c r="I1078" s="19"/>
      <c r="J1078" s="19"/>
      <c r="P1078" s="19"/>
    </row>
    <row r="1079" spans="1:16" x14ac:dyDescent="0.3">
      <c r="A1079" s="18"/>
      <c r="B1079" s="18"/>
      <c r="C1079" s="18"/>
      <c r="I1079" s="19"/>
      <c r="J1079" s="19"/>
      <c r="P1079" s="19"/>
    </row>
    <row r="1080" spans="1:16" x14ac:dyDescent="0.3">
      <c r="A1080" s="18"/>
      <c r="B1080" s="18"/>
      <c r="C1080" s="18"/>
      <c r="I1080" s="19"/>
      <c r="J1080" s="19"/>
      <c r="P1080" s="19"/>
    </row>
    <row r="1081" spans="1:16" x14ac:dyDescent="0.3">
      <c r="A1081" s="18"/>
      <c r="B1081" s="18"/>
      <c r="C1081" s="18"/>
      <c r="I1081" s="19"/>
      <c r="J1081" s="19"/>
      <c r="P1081" s="19"/>
    </row>
    <row r="1082" spans="1:16" x14ac:dyDescent="0.3">
      <c r="A1082" s="18"/>
      <c r="B1082" s="18"/>
      <c r="C1082" s="18"/>
      <c r="I1082" s="19"/>
      <c r="J1082" s="19"/>
      <c r="P1082" s="19"/>
    </row>
    <row r="1083" spans="1:16" x14ac:dyDescent="0.3">
      <c r="A1083" s="18"/>
      <c r="B1083" s="18"/>
      <c r="C1083" s="18"/>
      <c r="I1083" s="19"/>
      <c r="J1083" s="19"/>
      <c r="P1083" s="19"/>
    </row>
    <row r="1084" spans="1:16" x14ac:dyDescent="0.3">
      <c r="A1084" s="18"/>
      <c r="B1084" s="18"/>
      <c r="C1084" s="18"/>
      <c r="I1084" s="19"/>
      <c r="J1084" s="19"/>
      <c r="P1084" s="19"/>
    </row>
    <row r="1085" spans="1:16" x14ac:dyDescent="0.3">
      <c r="A1085" s="18"/>
      <c r="B1085" s="18"/>
      <c r="C1085" s="18"/>
      <c r="I1085" s="19"/>
      <c r="J1085" s="19"/>
      <c r="P1085" s="19"/>
    </row>
    <row r="1086" spans="1:16" x14ac:dyDescent="0.3">
      <c r="A1086" s="18"/>
      <c r="B1086" s="18"/>
      <c r="C1086" s="18"/>
      <c r="I1086" s="19"/>
      <c r="J1086" s="19"/>
      <c r="P1086" s="19"/>
    </row>
    <row r="1087" spans="1:16" x14ac:dyDescent="0.3">
      <c r="A1087" s="18"/>
      <c r="B1087" s="18"/>
      <c r="C1087" s="18"/>
      <c r="I1087" s="19"/>
      <c r="J1087" s="19"/>
      <c r="P1087" s="19"/>
    </row>
    <row r="1088" spans="1:16" x14ac:dyDescent="0.3">
      <c r="A1088" s="18"/>
      <c r="B1088" s="18"/>
      <c r="C1088" s="18"/>
      <c r="I1088" s="19"/>
      <c r="J1088" s="19"/>
      <c r="P1088" s="19"/>
    </row>
    <row r="1089" spans="1:16" x14ac:dyDescent="0.3">
      <c r="A1089" s="18"/>
      <c r="B1089" s="18"/>
      <c r="C1089" s="18"/>
      <c r="I1089" s="19"/>
      <c r="J1089" s="19"/>
      <c r="P1089" s="19"/>
    </row>
    <row r="1090" spans="1:16" x14ac:dyDescent="0.3">
      <c r="A1090" s="18"/>
      <c r="B1090" s="18"/>
      <c r="C1090" s="18"/>
      <c r="I1090" s="19"/>
      <c r="J1090" s="19"/>
      <c r="P1090" s="19"/>
    </row>
    <row r="1091" spans="1:16" x14ac:dyDescent="0.3">
      <c r="A1091" s="18"/>
      <c r="B1091" s="18"/>
      <c r="C1091" s="18"/>
      <c r="I1091" s="19"/>
      <c r="J1091" s="19"/>
      <c r="P1091" s="19"/>
    </row>
    <row r="1092" spans="1:16" x14ac:dyDescent="0.3">
      <c r="A1092" s="18"/>
      <c r="B1092" s="18"/>
      <c r="C1092" s="18"/>
      <c r="I1092" s="19"/>
      <c r="J1092" s="19"/>
      <c r="P1092" s="19"/>
    </row>
    <row r="1093" spans="1:16" x14ac:dyDescent="0.3">
      <c r="A1093" s="18"/>
      <c r="B1093" s="18"/>
      <c r="C1093" s="18"/>
      <c r="I1093" s="19"/>
      <c r="J1093" s="19"/>
      <c r="P1093" s="19"/>
    </row>
    <row r="1094" spans="1:16" x14ac:dyDescent="0.3">
      <c r="A1094" s="18"/>
      <c r="B1094" s="18"/>
      <c r="C1094" s="18"/>
      <c r="I1094" s="19"/>
      <c r="J1094" s="19"/>
      <c r="P1094" s="19"/>
    </row>
    <row r="1095" spans="1:16" x14ac:dyDescent="0.3">
      <c r="A1095" s="18"/>
      <c r="B1095" s="18"/>
      <c r="C1095" s="18"/>
      <c r="I1095" s="19"/>
      <c r="J1095" s="19"/>
      <c r="P1095" s="19"/>
    </row>
    <row r="1096" spans="1:16" x14ac:dyDescent="0.3">
      <c r="A1096" s="18"/>
      <c r="B1096" s="18"/>
      <c r="C1096" s="18"/>
      <c r="I1096" s="19"/>
      <c r="J1096" s="19"/>
      <c r="P1096" s="19"/>
    </row>
    <row r="1097" spans="1:16" x14ac:dyDescent="0.3">
      <c r="A1097" s="18"/>
      <c r="B1097" s="18"/>
      <c r="C1097" s="18"/>
      <c r="I1097" s="19"/>
      <c r="J1097" s="19"/>
      <c r="P1097" s="19"/>
    </row>
    <row r="1098" spans="1:16" x14ac:dyDescent="0.3">
      <c r="A1098" s="18"/>
      <c r="B1098" s="18"/>
      <c r="C1098" s="18"/>
      <c r="I1098" s="19"/>
      <c r="J1098" s="19"/>
      <c r="P1098" s="19"/>
    </row>
    <row r="1099" spans="1:16" x14ac:dyDescent="0.3">
      <c r="A1099" s="18"/>
      <c r="B1099" s="18"/>
      <c r="C1099" s="18"/>
      <c r="I1099" s="19"/>
      <c r="J1099" s="19"/>
      <c r="P1099" s="19"/>
    </row>
    <row r="1100" spans="1:16" x14ac:dyDescent="0.3">
      <c r="A1100" s="18"/>
      <c r="B1100" s="18"/>
      <c r="C1100" s="18"/>
      <c r="I1100" s="19"/>
      <c r="J1100" s="19"/>
      <c r="P1100" s="19"/>
    </row>
    <row r="1101" spans="1:16" x14ac:dyDescent="0.3">
      <c r="A1101" s="18"/>
      <c r="B1101" s="18"/>
      <c r="C1101" s="18"/>
      <c r="I1101" s="19"/>
      <c r="J1101" s="19"/>
      <c r="P1101" s="19"/>
    </row>
    <row r="1102" spans="1:16" x14ac:dyDescent="0.3">
      <c r="A1102" s="18"/>
      <c r="B1102" s="18"/>
      <c r="C1102" s="18"/>
      <c r="I1102" s="19"/>
      <c r="J1102" s="19"/>
      <c r="P1102" s="19"/>
    </row>
    <row r="1103" spans="1:16" x14ac:dyDescent="0.3">
      <c r="A1103" s="18"/>
      <c r="B1103" s="18"/>
      <c r="C1103" s="18"/>
      <c r="I1103" s="19"/>
      <c r="J1103" s="19"/>
      <c r="P1103" s="19"/>
    </row>
    <row r="1104" spans="1:16" x14ac:dyDescent="0.3">
      <c r="A1104" s="18"/>
      <c r="B1104" s="18"/>
      <c r="C1104" s="18"/>
      <c r="I1104" s="19"/>
      <c r="J1104" s="19"/>
      <c r="P1104" s="19"/>
    </row>
    <row r="1105" spans="1:16" x14ac:dyDescent="0.3">
      <c r="A1105" s="18"/>
      <c r="B1105" s="18"/>
      <c r="C1105" s="18"/>
      <c r="I1105" s="19"/>
      <c r="J1105" s="19"/>
      <c r="P1105" s="19"/>
    </row>
    <row r="1106" spans="1:16" x14ac:dyDescent="0.3">
      <c r="A1106" s="18"/>
      <c r="B1106" s="18"/>
      <c r="C1106" s="18"/>
      <c r="I1106" s="19"/>
      <c r="J1106" s="19"/>
      <c r="P1106" s="19"/>
    </row>
    <row r="1107" spans="1:16" x14ac:dyDescent="0.3">
      <c r="A1107" s="18"/>
      <c r="B1107" s="18"/>
      <c r="C1107" s="18"/>
      <c r="I1107" s="19"/>
      <c r="J1107" s="19"/>
      <c r="P1107" s="19"/>
    </row>
    <row r="1108" spans="1:16" x14ac:dyDescent="0.3">
      <c r="A1108" s="18"/>
      <c r="B1108" s="18"/>
      <c r="C1108" s="18"/>
      <c r="I1108" s="19"/>
      <c r="J1108" s="19"/>
      <c r="P1108" s="19"/>
    </row>
    <row r="1109" spans="1:16" x14ac:dyDescent="0.3">
      <c r="A1109" s="18"/>
      <c r="B1109" s="18"/>
      <c r="C1109" s="18"/>
      <c r="I1109" s="19"/>
      <c r="J1109" s="19"/>
      <c r="P1109" s="19"/>
    </row>
    <row r="1110" spans="1:16" x14ac:dyDescent="0.3">
      <c r="A1110" s="18"/>
      <c r="B1110" s="18"/>
      <c r="C1110" s="18"/>
      <c r="I1110" s="19"/>
      <c r="J1110" s="19"/>
      <c r="P1110" s="19"/>
    </row>
    <row r="1111" spans="1:16" x14ac:dyDescent="0.3">
      <c r="A1111" s="18"/>
      <c r="B1111" s="18"/>
      <c r="C1111" s="18"/>
      <c r="I1111" s="19"/>
      <c r="J1111" s="19"/>
      <c r="P1111" s="19"/>
    </row>
    <row r="1112" spans="1:16" x14ac:dyDescent="0.3">
      <c r="A1112" s="18"/>
      <c r="B1112" s="18"/>
      <c r="C1112" s="18"/>
      <c r="I1112" s="19"/>
      <c r="J1112" s="19"/>
      <c r="P1112" s="19"/>
    </row>
    <row r="1113" spans="1:16" x14ac:dyDescent="0.3">
      <c r="A1113" s="18"/>
      <c r="B1113" s="18"/>
      <c r="C1113" s="18"/>
      <c r="I1113" s="19"/>
      <c r="J1113" s="19"/>
      <c r="P1113" s="19"/>
    </row>
    <row r="1114" spans="1:16" x14ac:dyDescent="0.3">
      <c r="A1114" s="18"/>
      <c r="B1114" s="18"/>
      <c r="C1114" s="18"/>
      <c r="I1114" s="19"/>
      <c r="J1114" s="19"/>
      <c r="P1114" s="19"/>
    </row>
    <row r="1115" spans="1:16" x14ac:dyDescent="0.3">
      <c r="A1115" s="18"/>
      <c r="B1115" s="18"/>
      <c r="C1115" s="18"/>
      <c r="I1115" s="19"/>
      <c r="J1115" s="19"/>
      <c r="P1115" s="19"/>
    </row>
    <row r="1116" spans="1:16" x14ac:dyDescent="0.3">
      <c r="A1116" s="18"/>
      <c r="B1116" s="18"/>
      <c r="C1116" s="18"/>
      <c r="I1116" s="19"/>
      <c r="J1116" s="19"/>
      <c r="P1116" s="19"/>
    </row>
    <row r="1117" spans="1:16" x14ac:dyDescent="0.3">
      <c r="A1117" s="18"/>
      <c r="B1117" s="18"/>
      <c r="C1117" s="18"/>
      <c r="I1117" s="19"/>
      <c r="J1117" s="19"/>
      <c r="P1117" s="19"/>
    </row>
    <row r="1118" spans="1:16" x14ac:dyDescent="0.3">
      <c r="A1118" s="18"/>
      <c r="B1118" s="18"/>
      <c r="C1118" s="18"/>
      <c r="I1118" s="19"/>
      <c r="J1118" s="19"/>
      <c r="P1118" s="19"/>
    </row>
    <row r="1119" spans="1:16" x14ac:dyDescent="0.3">
      <c r="A1119" s="18"/>
      <c r="B1119" s="18"/>
      <c r="C1119" s="18"/>
      <c r="I1119" s="19"/>
      <c r="J1119" s="19"/>
      <c r="P1119" s="19"/>
    </row>
    <row r="1120" spans="1:16" x14ac:dyDescent="0.3">
      <c r="A1120" s="18"/>
      <c r="B1120" s="18"/>
      <c r="C1120" s="18"/>
      <c r="I1120" s="19"/>
      <c r="J1120" s="19"/>
      <c r="P1120" s="19"/>
    </row>
    <row r="1121" spans="1:16" x14ac:dyDescent="0.3">
      <c r="A1121" s="18"/>
      <c r="B1121" s="18"/>
      <c r="C1121" s="18"/>
      <c r="I1121" s="19"/>
      <c r="J1121" s="19"/>
      <c r="P1121" s="19"/>
    </row>
    <row r="1122" spans="1:16" x14ac:dyDescent="0.3">
      <c r="A1122" s="18"/>
      <c r="B1122" s="18"/>
      <c r="C1122" s="18"/>
      <c r="I1122" s="19"/>
      <c r="J1122" s="19"/>
      <c r="P1122" s="19"/>
    </row>
    <row r="1123" spans="1:16" x14ac:dyDescent="0.3">
      <c r="A1123" s="18"/>
      <c r="B1123" s="18"/>
      <c r="C1123" s="18"/>
      <c r="I1123" s="19"/>
      <c r="J1123" s="19"/>
      <c r="P1123" s="19"/>
    </row>
    <row r="1124" spans="1:16" x14ac:dyDescent="0.3">
      <c r="A1124" s="18"/>
      <c r="B1124" s="18"/>
      <c r="C1124" s="18"/>
      <c r="I1124" s="19"/>
      <c r="J1124" s="19"/>
      <c r="P1124" s="19"/>
    </row>
    <row r="1125" spans="1:16" x14ac:dyDescent="0.3">
      <c r="A1125" s="18"/>
      <c r="B1125" s="18"/>
      <c r="C1125" s="18"/>
      <c r="I1125" s="19"/>
      <c r="J1125" s="19"/>
      <c r="P1125" s="19"/>
    </row>
    <row r="1126" spans="1:16" x14ac:dyDescent="0.3">
      <c r="A1126" s="18"/>
      <c r="B1126" s="18"/>
      <c r="C1126" s="18"/>
      <c r="I1126" s="19"/>
      <c r="J1126" s="19"/>
      <c r="P1126" s="19"/>
    </row>
    <row r="1127" spans="1:16" x14ac:dyDescent="0.3">
      <c r="A1127" s="18"/>
      <c r="B1127" s="18"/>
      <c r="C1127" s="18"/>
      <c r="I1127" s="19"/>
      <c r="J1127" s="19"/>
      <c r="P1127" s="19"/>
    </row>
    <row r="1128" spans="1:16" x14ac:dyDescent="0.3">
      <c r="A1128" s="18"/>
      <c r="B1128" s="18"/>
      <c r="C1128" s="18"/>
      <c r="I1128" s="19"/>
      <c r="J1128" s="19"/>
      <c r="P1128" s="19"/>
    </row>
    <row r="1129" spans="1:16" x14ac:dyDescent="0.3">
      <c r="A1129" s="18"/>
      <c r="B1129" s="18"/>
      <c r="C1129" s="18"/>
      <c r="I1129" s="19"/>
      <c r="J1129" s="19"/>
      <c r="P1129" s="19"/>
    </row>
    <row r="1130" spans="1:16" x14ac:dyDescent="0.3">
      <c r="A1130" s="18"/>
      <c r="B1130" s="18"/>
      <c r="C1130" s="18"/>
      <c r="I1130" s="19"/>
      <c r="J1130" s="19"/>
      <c r="P1130" s="19"/>
    </row>
    <row r="1131" spans="1:16" x14ac:dyDescent="0.3">
      <c r="A1131" s="18"/>
      <c r="B1131" s="18"/>
      <c r="C1131" s="18"/>
      <c r="I1131" s="19"/>
      <c r="J1131" s="19"/>
      <c r="P1131" s="19"/>
    </row>
    <row r="1132" spans="1:16" x14ac:dyDescent="0.3">
      <c r="A1132" s="18"/>
      <c r="B1132" s="18"/>
      <c r="C1132" s="18"/>
      <c r="I1132" s="19"/>
      <c r="J1132" s="19"/>
      <c r="P1132" s="19"/>
    </row>
    <row r="1133" spans="1:16" x14ac:dyDescent="0.3">
      <c r="A1133" s="18"/>
      <c r="B1133" s="18"/>
      <c r="C1133" s="18"/>
      <c r="I1133" s="19"/>
      <c r="J1133" s="19"/>
      <c r="P1133" s="19"/>
    </row>
    <row r="1134" spans="1:16" x14ac:dyDescent="0.3">
      <c r="A1134" s="18"/>
      <c r="B1134" s="18"/>
      <c r="C1134" s="18"/>
      <c r="I1134" s="19"/>
      <c r="J1134" s="19"/>
      <c r="P1134" s="19"/>
    </row>
    <row r="1135" spans="1:16" x14ac:dyDescent="0.3">
      <c r="A1135" s="18"/>
      <c r="B1135" s="18"/>
      <c r="C1135" s="18"/>
      <c r="I1135" s="19"/>
      <c r="J1135" s="19"/>
      <c r="P1135" s="19"/>
    </row>
    <row r="1136" spans="1:16" x14ac:dyDescent="0.3">
      <c r="A1136" s="18"/>
      <c r="B1136" s="18"/>
      <c r="C1136" s="18"/>
      <c r="I1136" s="19"/>
      <c r="J1136" s="19"/>
      <c r="P1136" s="19"/>
    </row>
    <row r="1137" spans="1:16" x14ac:dyDescent="0.3">
      <c r="A1137" s="18"/>
      <c r="B1137" s="18"/>
      <c r="C1137" s="18"/>
      <c r="I1137" s="19"/>
      <c r="J1137" s="19"/>
      <c r="P1137" s="19"/>
    </row>
    <row r="1138" spans="1:16" x14ac:dyDescent="0.3">
      <c r="A1138" s="18"/>
      <c r="B1138" s="18"/>
      <c r="C1138" s="18"/>
      <c r="I1138" s="19"/>
      <c r="J1138" s="19"/>
      <c r="P1138" s="19"/>
    </row>
    <row r="1139" spans="1:16" x14ac:dyDescent="0.3">
      <c r="A1139" s="18"/>
      <c r="B1139" s="18"/>
      <c r="C1139" s="18"/>
      <c r="I1139" s="19"/>
      <c r="J1139" s="19"/>
      <c r="P1139" s="19"/>
    </row>
    <row r="1140" spans="1:16" x14ac:dyDescent="0.3">
      <c r="A1140" s="18"/>
      <c r="B1140" s="18"/>
      <c r="C1140" s="18"/>
      <c r="I1140" s="19"/>
      <c r="J1140" s="19"/>
      <c r="P1140" s="19"/>
    </row>
    <row r="1141" spans="1:16" x14ac:dyDescent="0.3">
      <c r="A1141" s="18"/>
      <c r="B1141" s="18"/>
      <c r="C1141" s="18"/>
      <c r="I1141" s="19"/>
      <c r="J1141" s="19"/>
      <c r="P1141" s="19"/>
    </row>
    <row r="1142" spans="1:16" x14ac:dyDescent="0.3">
      <c r="A1142" s="18"/>
      <c r="B1142" s="18"/>
      <c r="C1142" s="18"/>
      <c r="I1142" s="19"/>
      <c r="J1142" s="19"/>
      <c r="P1142" s="19"/>
    </row>
    <row r="1143" spans="1:16" x14ac:dyDescent="0.3">
      <c r="A1143" s="18"/>
      <c r="B1143" s="18"/>
      <c r="C1143" s="18"/>
      <c r="I1143" s="19"/>
      <c r="J1143" s="19"/>
      <c r="P1143" s="19"/>
    </row>
    <row r="1144" spans="1:16" x14ac:dyDescent="0.3">
      <c r="A1144" s="18"/>
      <c r="B1144" s="18"/>
      <c r="C1144" s="18"/>
      <c r="I1144" s="19"/>
      <c r="J1144" s="19"/>
      <c r="P1144" s="19"/>
    </row>
    <row r="1145" spans="1:16" x14ac:dyDescent="0.3">
      <c r="A1145" s="18"/>
      <c r="B1145" s="18"/>
      <c r="C1145" s="18"/>
      <c r="I1145" s="19"/>
      <c r="J1145" s="19"/>
      <c r="P1145" s="19"/>
    </row>
    <row r="1146" spans="1:16" x14ac:dyDescent="0.3">
      <c r="A1146" s="18"/>
      <c r="B1146" s="18"/>
      <c r="C1146" s="18"/>
      <c r="I1146" s="19"/>
      <c r="J1146" s="19"/>
      <c r="P1146" s="19"/>
    </row>
    <row r="1147" spans="1:16" x14ac:dyDescent="0.3">
      <c r="A1147" s="18"/>
      <c r="B1147" s="18"/>
      <c r="C1147" s="18"/>
      <c r="I1147" s="19"/>
      <c r="J1147" s="19"/>
      <c r="P1147" s="19"/>
    </row>
    <row r="1148" spans="1:16" x14ac:dyDescent="0.3">
      <c r="A1148" s="18"/>
      <c r="B1148" s="18"/>
      <c r="C1148" s="18"/>
      <c r="I1148" s="19"/>
      <c r="J1148" s="19"/>
      <c r="P1148" s="19"/>
    </row>
    <row r="1149" spans="1:16" x14ac:dyDescent="0.3">
      <c r="A1149" s="18"/>
      <c r="B1149" s="18"/>
      <c r="C1149" s="18"/>
      <c r="I1149" s="19"/>
      <c r="J1149" s="19"/>
      <c r="P1149" s="19"/>
    </row>
    <row r="1150" spans="1:16" x14ac:dyDescent="0.3">
      <c r="A1150" s="18"/>
      <c r="B1150" s="18"/>
      <c r="C1150" s="18"/>
      <c r="I1150" s="19"/>
      <c r="J1150" s="19"/>
      <c r="P1150" s="19"/>
    </row>
    <row r="1151" spans="1:16" x14ac:dyDescent="0.3">
      <c r="A1151" s="18"/>
      <c r="B1151" s="18"/>
      <c r="C1151" s="18"/>
      <c r="I1151" s="19"/>
      <c r="J1151" s="19"/>
      <c r="P1151" s="19"/>
    </row>
    <row r="1152" spans="1:16" x14ac:dyDescent="0.3">
      <c r="A1152" s="18"/>
      <c r="B1152" s="18"/>
      <c r="C1152" s="18"/>
      <c r="I1152" s="19"/>
      <c r="J1152" s="19"/>
      <c r="P1152" s="19"/>
    </row>
    <row r="1153" spans="1:16" x14ac:dyDescent="0.3">
      <c r="A1153" s="18"/>
      <c r="B1153" s="18"/>
      <c r="C1153" s="18"/>
      <c r="I1153" s="19"/>
      <c r="J1153" s="19"/>
      <c r="P1153" s="19"/>
    </row>
    <row r="1154" spans="1:16" x14ac:dyDescent="0.3">
      <c r="A1154" s="18"/>
      <c r="B1154" s="18"/>
      <c r="C1154" s="18"/>
      <c r="I1154" s="19"/>
      <c r="J1154" s="19"/>
      <c r="P1154" s="19"/>
    </row>
    <row r="1155" spans="1:16" x14ac:dyDescent="0.3">
      <c r="A1155" s="18"/>
      <c r="B1155" s="18"/>
      <c r="C1155" s="18"/>
      <c r="I1155" s="19"/>
      <c r="J1155" s="19"/>
      <c r="P1155" s="19"/>
    </row>
    <row r="1156" spans="1:16" x14ac:dyDescent="0.3">
      <c r="A1156" s="18"/>
      <c r="B1156" s="18"/>
      <c r="C1156" s="18"/>
      <c r="I1156" s="19"/>
      <c r="J1156" s="19"/>
      <c r="P1156" s="19"/>
    </row>
    <row r="1157" spans="1:16" x14ac:dyDescent="0.3">
      <c r="A1157" s="18"/>
      <c r="B1157" s="18"/>
      <c r="C1157" s="18"/>
      <c r="I1157" s="19"/>
      <c r="J1157" s="19"/>
      <c r="P1157" s="19"/>
    </row>
    <row r="1158" spans="1:16" x14ac:dyDescent="0.3">
      <c r="A1158" s="18"/>
      <c r="B1158" s="18"/>
      <c r="C1158" s="18"/>
      <c r="I1158" s="19"/>
      <c r="J1158" s="19"/>
      <c r="P1158" s="19"/>
    </row>
    <row r="1159" spans="1:16" x14ac:dyDescent="0.3">
      <c r="A1159" s="18"/>
      <c r="B1159" s="18"/>
      <c r="C1159" s="18"/>
      <c r="I1159" s="19"/>
      <c r="J1159" s="19"/>
      <c r="P1159" s="19"/>
    </row>
    <row r="1160" spans="1:16" x14ac:dyDescent="0.3">
      <c r="A1160" s="18"/>
      <c r="B1160" s="18"/>
      <c r="C1160" s="18"/>
      <c r="I1160" s="19"/>
      <c r="J1160" s="19"/>
      <c r="P1160" s="19"/>
    </row>
    <row r="1161" spans="1:16" x14ac:dyDescent="0.3">
      <c r="A1161" s="18"/>
      <c r="B1161" s="18"/>
      <c r="C1161" s="18"/>
      <c r="I1161" s="19"/>
      <c r="J1161" s="19"/>
      <c r="P1161" s="19"/>
    </row>
    <row r="1162" spans="1:16" x14ac:dyDescent="0.3">
      <c r="A1162" s="18"/>
      <c r="B1162" s="18"/>
      <c r="C1162" s="18"/>
      <c r="I1162" s="19"/>
      <c r="J1162" s="19"/>
      <c r="P1162" s="19"/>
    </row>
    <row r="1163" spans="1:16" x14ac:dyDescent="0.3">
      <c r="A1163" s="18"/>
      <c r="B1163" s="18"/>
      <c r="C1163" s="18"/>
      <c r="I1163" s="19"/>
      <c r="J1163" s="19"/>
      <c r="P1163" s="19"/>
    </row>
    <row r="1164" spans="1:16" x14ac:dyDescent="0.3">
      <c r="A1164" s="18"/>
      <c r="B1164" s="18"/>
      <c r="C1164" s="18"/>
      <c r="I1164" s="19"/>
      <c r="J1164" s="19"/>
      <c r="P1164" s="19"/>
    </row>
    <row r="1165" spans="1:16" x14ac:dyDescent="0.3">
      <c r="A1165" s="18"/>
      <c r="B1165" s="18"/>
      <c r="C1165" s="18"/>
      <c r="I1165" s="19"/>
      <c r="J1165" s="19"/>
      <c r="P1165" s="19"/>
    </row>
    <row r="1166" spans="1:16" x14ac:dyDescent="0.3">
      <c r="A1166" s="18"/>
      <c r="B1166" s="18"/>
      <c r="C1166" s="18"/>
      <c r="I1166" s="19"/>
      <c r="J1166" s="19"/>
      <c r="P1166" s="19"/>
    </row>
    <row r="1167" spans="1:16" x14ac:dyDescent="0.3">
      <c r="A1167" s="18"/>
      <c r="B1167" s="18"/>
      <c r="C1167" s="18"/>
      <c r="I1167" s="19"/>
      <c r="J1167" s="19"/>
      <c r="P1167" s="19"/>
    </row>
    <row r="1168" spans="1:16" x14ac:dyDescent="0.3">
      <c r="A1168" s="18"/>
      <c r="B1168" s="18"/>
      <c r="C1168" s="18"/>
      <c r="I1168" s="19"/>
      <c r="J1168" s="19"/>
      <c r="P1168" s="19"/>
    </row>
    <row r="1169" spans="1:16" x14ac:dyDescent="0.3">
      <c r="A1169" s="18"/>
      <c r="B1169" s="18"/>
      <c r="C1169" s="18"/>
      <c r="I1169" s="19"/>
      <c r="J1169" s="19"/>
      <c r="P1169" s="19"/>
    </row>
    <row r="1170" spans="1:16" x14ac:dyDescent="0.3">
      <c r="A1170" s="18"/>
      <c r="B1170" s="18"/>
      <c r="C1170" s="18"/>
      <c r="I1170" s="19"/>
      <c r="J1170" s="19"/>
      <c r="P1170" s="19"/>
    </row>
    <row r="1171" spans="1:16" x14ac:dyDescent="0.3">
      <c r="A1171" s="18"/>
      <c r="B1171" s="18"/>
      <c r="C1171" s="18"/>
      <c r="I1171" s="19"/>
      <c r="J1171" s="19"/>
      <c r="P1171" s="19"/>
    </row>
  </sheetData>
  <pageMargins left="0.70000000000000007" right="0.70000000000000007" top="0.75" bottom="0.75" header="0.30000000000000004" footer="0.30000000000000004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721"/>
  <sheetViews>
    <sheetView workbookViewId="0"/>
  </sheetViews>
  <sheetFormatPr defaultRowHeight="14.4" x14ac:dyDescent="0.3"/>
  <cols>
    <col min="1" max="2" width="8.88671875" customWidth="1"/>
    <col min="3" max="3" width="29.44140625" customWidth="1"/>
    <col min="4" max="4" width="12.21875" bestFit="1" customWidth="1"/>
    <col min="5" max="5" width="8.88671875" customWidth="1"/>
  </cols>
  <sheetData>
    <row r="2" spans="3:8" x14ac:dyDescent="0.3">
      <c r="C2" s="22" t="s">
        <v>59</v>
      </c>
      <c r="D2" s="22"/>
      <c r="E2" s="19"/>
      <c r="F2" s="19"/>
      <c r="G2" s="19"/>
      <c r="H2" s="19"/>
    </row>
    <row r="3" spans="3:8" x14ac:dyDescent="0.3">
      <c r="C3" s="20" t="s">
        <v>60</v>
      </c>
      <c r="D3" s="21">
        <f>AVERAGE(HHS_Unaccompanied_Alien_Childre!I:I)</f>
        <v>6232.7694444444442</v>
      </c>
      <c r="E3" s="19"/>
      <c r="F3" s="19"/>
      <c r="G3" s="19"/>
      <c r="H3" s="19"/>
    </row>
    <row r="4" spans="3:8" x14ac:dyDescent="0.3">
      <c r="C4" s="20" t="s">
        <v>61</v>
      </c>
      <c r="D4" s="21">
        <f>MAX(HHS_Unaccompanied_Alien_Childre!I:I)</f>
        <v>11762</v>
      </c>
      <c r="E4" s="19"/>
      <c r="F4" s="19"/>
      <c r="G4" s="19"/>
      <c r="H4" s="19"/>
    </row>
    <row r="5" spans="3:8" x14ac:dyDescent="0.3">
      <c r="C5" s="20" t="s">
        <v>62</v>
      </c>
      <c r="D5" s="21">
        <f>MAX(HHS_Unaccompanied_Alien_Childre!G:G)</f>
        <v>11516</v>
      </c>
      <c r="E5" s="19"/>
      <c r="F5" s="19"/>
      <c r="G5" s="19"/>
      <c r="H5" s="19"/>
    </row>
    <row r="6" spans="3:8" x14ac:dyDescent="0.3">
      <c r="C6" s="20" t="s">
        <v>63</v>
      </c>
      <c r="D6" s="21">
        <f>AVERAGE(HHS_Unaccompanied_Alien_Childre!J:J)</f>
        <v>-44.738888888888887</v>
      </c>
      <c r="E6" s="19"/>
      <c r="F6" s="19"/>
      <c r="G6" s="19"/>
      <c r="H6" s="19"/>
    </row>
    <row r="7" spans="3:8" x14ac:dyDescent="0.3">
      <c r="C7" s="20" t="s">
        <v>64</v>
      </c>
      <c r="D7" s="21">
        <f>MAX(HHS_Unaccompanied_Alien_Childre!J:J)</f>
        <v>206</v>
      </c>
      <c r="E7" s="19"/>
      <c r="F7" s="19"/>
      <c r="G7" s="19"/>
      <c r="H7" s="19"/>
    </row>
    <row r="8" spans="3:8" x14ac:dyDescent="0.3">
      <c r="C8" s="20" t="s">
        <v>65</v>
      </c>
      <c r="D8" s="21">
        <f>AVERAGE(HHS_Unaccompanied_Alien_Childre!O2:O1171)</f>
        <v>2.0051227419064195</v>
      </c>
      <c r="E8" s="19"/>
      <c r="F8" s="19"/>
      <c r="G8" s="19"/>
      <c r="H8" s="19"/>
    </row>
    <row r="9" spans="3:8" x14ac:dyDescent="0.3">
      <c r="D9" s="19"/>
      <c r="E9" s="19"/>
      <c r="F9" s="19"/>
      <c r="G9" s="19"/>
      <c r="H9" s="19"/>
    </row>
    <row r="10" spans="3:8" x14ac:dyDescent="0.3">
      <c r="D10" s="19"/>
      <c r="E10" s="19"/>
      <c r="F10" s="19"/>
      <c r="G10" s="19"/>
      <c r="H10" s="19"/>
    </row>
    <row r="11" spans="3:8" x14ac:dyDescent="0.3">
      <c r="D11" s="19"/>
      <c r="E11" s="19"/>
      <c r="F11" s="19"/>
      <c r="G11" s="19"/>
      <c r="H11" s="19"/>
    </row>
    <row r="12" spans="3:8" x14ac:dyDescent="0.3">
      <c r="D12" s="19"/>
      <c r="E12" s="19"/>
      <c r="F12" s="19"/>
      <c r="G12" s="19"/>
      <c r="H12" s="19"/>
    </row>
    <row r="13" spans="3:8" x14ac:dyDescent="0.3">
      <c r="D13" s="19"/>
      <c r="E13" s="19"/>
      <c r="F13" s="19"/>
      <c r="G13" s="19"/>
      <c r="H13" s="19"/>
    </row>
    <row r="14" spans="3:8" x14ac:dyDescent="0.3">
      <c r="D14" s="19"/>
      <c r="E14" s="19"/>
      <c r="F14" s="19"/>
      <c r="G14" s="19"/>
      <c r="H14" s="19"/>
    </row>
    <row r="15" spans="3:8" x14ac:dyDescent="0.3">
      <c r="D15" s="19"/>
      <c r="E15" s="19"/>
      <c r="F15" s="19"/>
      <c r="G15" s="19"/>
      <c r="H15" s="19"/>
    </row>
    <row r="16" spans="3:8" x14ac:dyDescent="0.3">
      <c r="D16" s="19"/>
      <c r="E16" s="19"/>
      <c r="F16" s="19"/>
      <c r="G16" s="19"/>
      <c r="H16" s="19"/>
    </row>
    <row r="17" spans="4:8" x14ac:dyDescent="0.3">
      <c r="D17" s="19"/>
      <c r="E17" s="19"/>
      <c r="F17" s="19"/>
      <c r="G17" s="19"/>
      <c r="H17" s="19"/>
    </row>
    <row r="18" spans="4:8" x14ac:dyDescent="0.3">
      <c r="D18" s="19"/>
      <c r="E18" s="19"/>
      <c r="F18" s="19"/>
      <c r="G18" s="19"/>
      <c r="H18" s="19"/>
    </row>
    <row r="19" spans="4:8" x14ac:dyDescent="0.3">
      <c r="D19" s="19"/>
      <c r="E19" s="19"/>
      <c r="F19" s="19"/>
      <c r="G19" s="19"/>
      <c r="H19" s="19"/>
    </row>
    <row r="20" spans="4:8" x14ac:dyDescent="0.3">
      <c r="D20" s="19"/>
      <c r="E20" s="19"/>
      <c r="F20" s="19"/>
      <c r="G20" s="19"/>
      <c r="H20" s="19"/>
    </row>
    <row r="21" spans="4:8" x14ac:dyDescent="0.3">
      <c r="D21" s="19"/>
      <c r="E21" s="19"/>
      <c r="F21" s="19"/>
      <c r="G21" s="19"/>
      <c r="H21" s="19"/>
    </row>
    <row r="22" spans="4:8" x14ac:dyDescent="0.3">
      <c r="D22" s="19"/>
      <c r="E22" s="19"/>
      <c r="F22" s="19"/>
      <c r="G22" s="19"/>
      <c r="H22" s="19"/>
    </row>
    <row r="23" spans="4:8" x14ac:dyDescent="0.3">
      <c r="D23" s="19"/>
      <c r="E23" s="19"/>
      <c r="F23" s="19"/>
      <c r="G23" s="19"/>
      <c r="H23" s="19"/>
    </row>
    <row r="24" spans="4:8" x14ac:dyDescent="0.3">
      <c r="D24" s="19"/>
      <c r="E24" s="19"/>
      <c r="F24" s="19"/>
      <c r="G24" s="19"/>
      <c r="H24" s="19"/>
    </row>
    <row r="25" spans="4:8" x14ac:dyDescent="0.3">
      <c r="D25" s="19"/>
      <c r="E25" s="19"/>
      <c r="F25" s="19"/>
      <c r="G25" s="19"/>
      <c r="H25" s="19"/>
    </row>
    <row r="26" spans="4:8" x14ac:dyDescent="0.3">
      <c r="D26" s="19"/>
      <c r="E26" s="19"/>
      <c r="F26" s="19"/>
      <c r="G26" s="19"/>
      <c r="H26" s="19"/>
    </row>
    <row r="27" spans="4:8" x14ac:dyDescent="0.3">
      <c r="D27" s="19"/>
      <c r="E27" s="19"/>
      <c r="F27" s="19"/>
      <c r="G27" s="19"/>
      <c r="H27" s="19"/>
    </row>
    <row r="28" spans="4:8" x14ac:dyDescent="0.3">
      <c r="D28" s="19"/>
      <c r="E28" s="19"/>
      <c r="F28" s="19"/>
      <c r="G28" s="19"/>
      <c r="H28" s="19"/>
    </row>
    <row r="29" spans="4:8" x14ac:dyDescent="0.3">
      <c r="D29" s="19"/>
      <c r="E29" s="19"/>
      <c r="F29" s="19"/>
      <c r="G29" s="19"/>
      <c r="H29" s="19"/>
    </row>
    <row r="30" spans="4:8" x14ac:dyDescent="0.3">
      <c r="D30" s="19"/>
      <c r="E30" s="19"/>
      <c r="F30" s="19"/>
      <c r="G30" s="19"/>
      <c r="H30" s="19"/>
    </row>
    <row r="31" spans="4:8" x14ac:dyDescent="0.3">
      <c r="D31" s="19"/>
      <c r="E31" s="19"/>
      <c r="F31" s="19"/>
      <c r="G31" s="19"/>
      <c r="H31" s="19"/>
    </row>
    <row r="32" spans="4:8" x14ac:dyDescent="0.3">
      <c r="D32" s="19"/>
      <c r="E32" s="19"/>
      <c r="F32" s="19"/>
      <c r="G32" s="19"/>
      <c r="H32" s="19"/>
    </row>
    <row r="33" spans="4:8" x14ac:dyDescent="0.3">
      <c r="D33" s="19"/>
      <c r="E33" s="19"/>
      <c r="F33" s="19"/>
      <c r="G33" s="19"/>
      <c r="H33" s="19"/>
    </row>
    <row r="34" spans="4:8" x14ac:dyDescent="0.3">
      <c r="D34" s="19"/>
      <c r="E34" s="19"/>
      <c r="F34" s="19"/>
      <c r="G34" s="19"/>
      <c r="H34" s="19"/>
    </row>
    <row r="35" spans="4:8" x14ac:dyDescent="0.3">
      <c r="D35" s="19"/>
      <c r="E35" s="19"/>
      <c r="F35" s="19"/>
      <c r="G35" s="19"/>
      <c r="H35" s="19"/>
    </row>
    <row r="36" spans="4:8" x14ac:dyDescent="0.3">
      <c r="D36" s="19"/>
      <c r="E36" s="19"/>
      <c r="F36" s="19"/>
      <c r="G36" s="19"/>
      <c r="H36" s="19"/>
    </row>
    <row r="37" spans="4:8" x14ac:dyDescent="0.3">
      <c r="D37" s="19"/>
      <c r="E37" s="19"/>
      <c r="F37" s="19"/>
      <c r="G37" s="19"/>
      <c r="H37" s="19"/>
    </row>
    <row r="38" spans="4:8" x14ac:dyDescent="0.3">
      <c r="D38" s="19"/>
      <c r="E38" s="19"/>
      <c r="F38" s="19"/>
      <c r="G38" s="19"/>
      <c r="H38" s="19"/>
    </row>
    <row r="39" spans="4:8" x14ac:dyDescent="0.3">
      <c r="D39" s="19"/>
      <c r="E39" s="19"/>
      <c r="F39" s="19"/>
      <c r="G39" s="19"/>
      <c r="H39" s="19"/>
    </row>
    <row r="40" spans="4:8" x14ac:dyDescent="0.3">
      <c r="D40" s="19"/>
      <c r="E40" s="19"/>
      <c r="F40" s="19"/>
      <c r="G40" s="19"/>
      <c r="H40" s="19"/>
    </row>
    <row r="41" spans="4:8" x14ac:dyDescent="0.3">
      <c r="D41" s="19"/>
      <c r="E41" s="19"/>
      <c r="F41" s="19"/>
      <c r="G41" s="19"/>
      <c r="H41" s="19"/>
    </row>
    <row r="42" spans="4:8" x14ac:dyDescent="0.3">
      <c r="D42" s="19"/>
      <c r="E42" s="19"/>
      <c r="F42" s="19"/>
      <c r="G42" s="19"/>
      <c r="H42" s="19"/>
    </row>
    <row r="43" spans="4:8" x14ac:dyDescent="0.3">
      <c r="D43" s="19"/>
      <c r="E43" s="19"/>
      <c r="F43" s="19"/>
      <c r="G43" s="19"/>
      <c r="H43" s="19"/>
    </row>
    <row r="44" spans="4:8" x14ac:dyDescent="0.3">
      <c r="D44" s="19"/>
      <c r="E44" s="19"/>
      <c r="F44" s="19"/>
      <c r="G44" s="19"/>
      <c r="H44" s="19"/>
    </row>
    <row r="45" spans="4:8" x14ac:dyDescent="0.3">
      <c r="D45" s="19"/>
      <c r="E45" s="19"/>
      <c r="F45" s="19"/>
      <c r="G45" s="19"/>
      <c r="H45" s="19"/>
    </row>
    <row r="46" spans="4:8" x14ac:dyDescent="0.3">
      <c r="D46" s="19"/>
      <c r="E46" s="19"/>
      <c r="F46" s="19"/>
      <c r="G46" s="19"/>
      <c r="H46" s="19"/>
    </row>
    <row r="47" spans="4:8" x14ac:dyDescent="0.3">
      <c r="D47" s="19"/>
      <c r="E47" s="19"/>
      <c r="F47" s="19"/>
      <c r="G47" s="19"/>
      <c r="H47" s="19"/>
    </row>
    <row r="48" spans="4:8" x14ac:dyDescent="0.3">
      <c r="D48" s="19"/>
      <c r="E48" s="19"/>
      <c r="F48" s="19"/>
      <c r="G48" s="19"/>
      <c r="H48" s="19"/>
    </row>
    <row r="49" spans="4:8" x14ac:dyDescent="0.3">
      <c r="D49" s="19"/>
      <c r="E49" s="19"/>
      <c r="F49" s="19"/>
      <c r="G49" s="19"/>
      <c r="H49" s="19"/>
    </row>
    <row r="50" spans="4:8" x14ac:dyDescent="0.3">
      <c r="D50" s="19"/>
      <c r="E50" s="19"/>
      <c r="F50" s="19"/>
      <c r="G50" s="19"/>
      <c r="H50" s="19"/>
    </row>
    <row r="51" spans="4:8" x14ac:dyDescent="0.3">
      <c r="D51" s="19"/>
      <c r="E51" s="19"/>
      <c r="F51" s="19"/>
      <c r="G51" s="19"/>
      <c r="H51" s="19"/>
    </row>
    <row r="52" spans="4:8" x14ac:dyDescent="0.3">
      <c r="D52" s="19"/>
      <c r="E52" s="19"/>
      <c r="F52" s="19"/>
      <c r="G52" s="19"/>
      <c r="H52" s="19"/>
    </row>
    <row r="53" spans="4:8" x14ac:dyDescent="0.3">
      <c r="D53" s="19"/>
      <c r="E53" s="19"/>
      <c r="F53" s="19"/>
      <c r="G53" s="19"/>
      <c r="H53" s="19"/>
    </row>
    <row r="54" spans="4:8" x14ac:dyDescent="0.3">
      <c r="D54" s="19"/>
      <c r="E54" s="19"/>
      <c r="F54" s="19"/>
      <c r="G54" s="19"/>
      <c r="H54" s="19"/>
    </row>
    <row r="55" spans="4:8" x14ac:dyDescent="0.3">
      <c r="D55" s="19"/>
      <c r="E55" s="19"/>
      <c r="F55" s="19"/>
      <c r="G55" s="19"/>
      <c r="H55" s="19"/>
    </row>
    <row r="56" spans="4:8" x14ac:dyDescent="0.3">
      <c r="D56" s="19"/>
      <c r="E56" s="19"/>
      <c r="F56" s="19"/>
      <c r="G56" s="19"/>
      <c r="H56" s="19"/>
    </row>
    <row r="57" spans="4:8" x14ac:dyDescent="0.3">
      <c r="D57" s="19"/>
      <c r="E57" s="19"/>
      <c r="F57" s="19"/>
      <c r="G57" s="19"/>
      <c r="H57" s="19"/>
    </row>
    <row r="58" spans="4:8" x14ac:dyDescent="0.3">
      <c r="D58" s="19"/>
      <c r="E58" s="19"/>
      <c r="F58" s="19"/>
      <c r="G58" s="19"/>
      <c r="H58" s="19"/>
    </row>
    <row r="59" spans="4:8" x14ac:dyDescent="0.3">
      <c r="D59" s="19"/>
      <c r="E59" s="19"/>
      <c r="F59" s="19"/>
      <c r="G59" s="19"/>
      <c r="H59" s="19"/>
    </row>
    <row r="60" spans="4:8" x14ac:dyDescent="0.3">
      <c r="D60" s="19"/>
      <c r="E60" s="19"/>
      <c r="F60" s="19"/>
      <c r="G60" s="19"/>
      <c r="H60" s="19"/>
    </row>
    <row r="61" spans="4:8" x14ac:dyDescent="0.3">
      <c r="D61" s="19"/>
      <c r="E61" s="19"/>
      <c r="F61" s="19"/>
      <c r="G61" s="19"/>
      <c r="H61" s="19"/>
    </row>
    <row r="62" spans="4:8" x14ac:dyDescent="0.3">
      <c r="D62" s="19"/>
      <c r="E62" s="19"/>
      <c r="F62" s="19"/>
      <c r="G62" s="19"/>
      <c r="H62" s="19"/>
    </row>
    <row r="63" spans="4:8" x14ac:dyDescent="0.3">
      <c r="D63" s="19"/>
      <c r="E63" s="19"/>
      <c r="F63" s="19"/>
      <c r="G63" s="19"/>
      <c r="H63" s="19"/>
    </row>
    <row r="64" spans="4:8" x14ac:dyDescent="0.3">
      <c r="D64" s="19"/>
      <c r="E64" s="19"/>
      <c r="F64" s="19"/>
      <c r="G64" s="19"/>
      <c r="H64" s="19"/>
    </row>
    <row r="65" spans="4:8" x14ac:dyDescent="0.3">
      <c r="D65" s="19"/>
      <c r="E65" s="19"/>
      <c r="F65" s="19"/>
      <c r="G65" s="19"/>
      <c r="H65" s="19"/>
    </row>
    <row r="66" spans="4:8" x14ac:dyDescent="0.3">
      <c r="D66" s="19"/>
      <c r="E66" s="19"/>
      <c r="F66" s="19"/>
      <c r="G66" s="19"/>
      <c r="H66" s="19"/>
    </row>
    <row r="67" spans="4:8" x14ac:dyDescent="0.3">
      <c r="D67" s="19"/>
      <c r="E67" s="19"/>
      <c r="F67" s="19"/>
      <c r="G67" s="19"/>
      <c r="H67" s="19"/>
    </row>
    <row r="68" spans="4:8" x14ac:dyDescent="0.3">
      <c r="D68" s="19"/>
      <c r="E68" s="19"/>
      <c r="F68" s="19"/>
      <c r="G68" s="19"/>
      <c r="H68" s="19"/>
    </row>
    <row r="69" spans="4:8" x14ac:dyDescent="0.3">
      <c r="D69" s="19"/>
      <c r="E69" s="19"/>
      <c r="F69" s="19"/>
      <c r="G69" s="19"/>
      <c r="H69" s="19"/>
    </row>
    <row r="70" spans="4:8" x14ac:dyDescent="0.3">
      <c r="D70" s="19"/>
      <c r="E70" s="19"/>
      <c r="F70" s="19"/>
      <c r="G70" s="19"/>
      <c r="H70" s="19"/>
    </row>
    <row r="71" spans="4:8" x14ac:dyDescent="0.3">
      <c r="D71" s="19"/>
      <c r="E71" s="19"/>
      <c r="F71" s="19"/>
      <c r="G71" s="19"/>
      <c r="H71" s="19"/>
    </row>
    <row r="72" spans="4:8" x14ac:dyDescent="0.3">
      <c r="D72" s="19"/>
      <c r="E72" s="19"/>
      <c r="F72" s="19"/>
      <c r="G72" s="19"/>
      <c r="H72" s="19"/>
    </row>
    <row r="73" spans="4:8" x14ac:dyDescent="0.3">
      <c r="D73" s="19"/>
      <c r="E73" s="19"/>
      <c r="F73" s="19"/>
      <c r="G73" s="19"/>
      <c r="H73" s="19"/>
    </row>
    <row r="74" spans="4:8" x14ac:dyDescent="0.3">
      <c r="D74" s="19"/>
      <c r="E74" s="19"/>
      <c r="F74" s="19"/>
      <c r="G74" s="19"/>
      <c r="H74" s="19"/>
    </row>
    <row r="75" spans="4:8" x14ac:dyDescent="0.3">
      <c r="D75" s="19"/>
      <c r="E75" s="19"/>
      <c r="F75" s="19"/>
      <c r="G75" s="19"/>
      <c r="H75" s="19"/>
    </row>
    <row r="76" spans="4:8" x14ac:dyDescent="0.3">
      <c r="D76" s="19"/>
      <c r="E76" s="19"/>
      <c r="F76" s="19"/>
      <c r="G76" s="19"/>
      <c r="H76" s="19"/>
    </row>
    <row r="77" spans="4:8" x14ac:dyDescent="0.3">
      <c r="D77" s="19"/>
      <c r="E77" s="19"/>
      <c r="F77" s="19"/>
      <c r="G77" s="19"/>
      <c r="H77" s="19"/>
    </row>
    <row r="78" spans="4:8" x14ac:dyDescent="0.3">
      <c r="D78" s="19"/>
      <c r="E78" s="19"/>
      <c r="F78" s="19"/>
      <c r="G78" s="19"/>
      <c r="H78" s="19"/>
    </row>
    <row r="79" spans="4:8" x14ac:dyDescent="0.3">
      <c r="D79" s="19"/>
      <c r="E79" s="19"/>
      <c r="F79" s="19"/>
      <c r="G79" s="19"/>
      <c r="H79" s="19"/>
    </row>
    <row r="80" spans="4:8" x14ac:dyDescent="0.3">
      <c r="D80" s="19"/>
      <c r="E80" s="19"/>
      <c r="F80" s="19"/>
      <c r="G80" s="19"/>
      <c r="H80" s="19"/>
    </row>
    <row r="81" spans="4:8" x14ac:dyDescent="0.3">
      <c r="D81" s="19"/>
      <c r="E81" s="19"/>
      <c r="F81" s="19"/>
      <c r="G81" s="19"/>
      <c r="H81" s="19"/>
    </row>
    <row r="82" spans="4:8" x14ac:dyDescent="0.3">
      <c r="D82" s="19"/>
      <c r="E82" s="19"/>
      <c r="F82" s="19"/>
      <c r="G82" s="19"/>
      <c r="H82" s="19"/>
    </row>
    <row r="83" spans="4:8" x14ac:dyDescent="0.3">
      <c r="D83" s="19"/>
      <c r="E83" s="19"/>
      <c r="F83" s="19"/>
      <c r="G83" s="19"/>
      <c r="H83" s="19"/>
    </row>
    <row r="84" spans="4:8" x14ac:dyDescent="0.3">
      <c r="D84" s="19"/>
      <c r="E84" s="19"/>
      <c r="F84" s="19"/>
      <c r="G84" s="19"/>
      <c r="H84" s="19"/>
    </row>
    <row r="85" spans="4:8" x14ac:dyDescent="0.3">
      <c r="D85" s="19"/>
      <c r="E85" s="19"/>
      <c r="F85" s="19"/>
      <c r="G85" s="19"/>
      <c r="H85" s="19"/>
    </row>
    <row r="86" spans="4:8" x14ac:dyDescent="0.3">
      <c r="D86" s="19"/>
      <c r="E86" s="19"/>
      <c r="F86" s="19"/>
      <c r="G86" s="19"/>
      <c r="H86" s="19"/>
    </row>
    <row r="87" spans="4:8" x14ac:dyDescent="0.3">
      <c r="D87" s="19"/>
      <c r="E87" s="19"/>
      <c r="F87" s="19"/>
      <c r="G87" s="19"/>
      <c r="H87" s="19"/>
    </row>
    <row r="88" spans="4:8" x14ac:dyDescent="0.3">
      <c r="D88" s="19"/>
      <c r="E88" s="19"/>
      <c r="F88" s="19"/>
      <c r="G88" s="19"/>
      <c r="H88" s="19"/>
    </row>
    <row r="89" spans="4:8" x14ac:dyDescent="0.3">
      <c r="D89" s="19"/>
      <c r="E89" s="19"/>
      <c r="F89" s="19"/>
      <c r="G89" s="19"/>
      <c r="H89" s="19"/>
    </row>
    <row r="90" spans="4:8" x14ac:dyDescent="0.3">
      <c r="D90" s="19"/>
      <c r="E90" s="19"/>
      <c r="F90" s="19"/>
      <c r="G90" s="19"/>
      <c r="H90" s="19"/>
    </row>
    <row r="91" spans="4:8" x14ac:dyDescent="0.3">
      <c r="D91" s="19"/>
      <c r="E91" s="19"/>
      <c r="F91" s="19"/>
      <c r="G91" s="19"/>
      <c r="H91" s="19"/>
    </row>
    <row r="92" spans="4:8" x14ac:dyDescent="0.3">
      <c r="D92" s="19"/>
      <c r="E92" s="19"/>
      <c r="F92" s="19"/>
      <c r="G92" s="19"/>
      <c r="H92" s="19"/>
    </row>
    <row r="93" spans="4:8" x14ac:dyDescent="0.3">
      <c r="D93" s="19"/>
      <c r="E93" s="19"/>
      <c r="F93" s="19"/>
      <c r="G93" s="19"/>
      <c r="H93" s="19"/>
    </row>
    <row r="94" spans="4:8" x14ac:dyDescent="0.3">
      <c r="D94" s="19"/>
      <c r="E94" s="19"/>
      <c r="F94" s="19"/>
      <c r="G94" s="19"/>
      <c r="H94" s="19"/>
    </row>
    <row r="95" spans="4:8" x14ac:dyDescent="0.3">
      <c r="D95" s="19"/>
      <c r="E95" s="19"/>
      <c r="F95" s="19"/>
      <c r="G95" s="19"/>
      <c r="H95" s="19"/>
    </row>
    <row r="96" spans="4:8" x14ac:dyDescent="0.3">
      <c r="D96" s="19"/>
      <c r="E96" s="19"/>
      <c r="F96" s="19"/>
      <c r="G96" s="19"/>
      <c r="H96" s="19"/>
    </row>
    <row r="97" spans="4:8" x14ac:dyDescent="0.3">
      <c r="D97" s="19"/>
      <c r="E97" s="19"/>
      <c r="F97" s="19"/>
      <c r="G97" s="19"/>
      <c r="H97" s="19"/>
    </row>
    <row r="98" spans="4:8" x14ac:dyDescent="0.3">
      <c r="D98" s="19"/>
      <c r="E98" s="19"/>
      <c r="F98" s="19"/>
      <c r="G98" s="19"/>
      <c r="H98" s="19"/>
    </row>
    <row r="99" spans="4:8" x14ac:dyDescent="0.3">
      <c r="D99" s="19"/>
      <c r="E99" s="19"/>
      <c r="F99" s="19"/>
      <c r="G99" s="19"/>
      <c r="H99" s="19"/>
    </row>
    <row r="100" spans="4:8" x14ac:dyDescent="0.3">
      <c r="D100" s="19"/>
      <c r="E100" s="19"/>
      <c r="F100" s="19"/>
      <c r="G100" s="19"/>
      <c r="H100" s="19"/>
    </row>
    <row r="101" spans="4:8" x14ac:dyDescent="0.3">
      <c r="D101" s="19"/>
      <c r="E101" s="19"/>
      <c r="F101" s="19"/>
      <c r="G101" s="19"/>
      <c r="H101" s="19"/>
    </row>
    <row r="102" spans="4:8" x14ac:dyDescent="0.3">
      <c r="D102" s="19"/>
      <c r="E102" s="19"/>
      <c r="F102" s="19"/>
      <c r="G102" s="19"/>
      <c r="H102" s="19"/>
    </row>
    <row r="103" spans="4:8" x14ac:dyDescent="0.3">
      <c r="D103" s="19"/>
      <c r="E103" s="19"/>
      <c r="F103" s="19"/>
      <c r="G103" s="19"/>
      <c r="H103" s="19"/>
    </row>
    <row r="104" spans="4:8" x14ac:dyDescent="0.3">
      <c r="D104" s="19"/>
      <c r="E104" s="19"/>
      <c r="F104" s="19"/>
      <c r="G104" s="19"/>
      <c r="H104" s="19"/>
    </row>
    <row r="105" spans="4:8" x14ac:dyDescent="0.3">
      <c r="D105" s="19"/>
      <c r="E105" s="19"/>
      <c r="F105" s="19"/>
      <c r="G105" s="19"/>
      <c r="H105" s="19"/>
    </row>
    <row r="106" spans="4:8" x14ac:dyDescent="0.3">
      <c r="D106" s="19"/>
      <c r="E106" s="19"/>
      <c r="F106" s="19"/>
      <c r="G106" s="19"/>
      <c r="H106" s="19"/>
    </row>
    <row r="107" spans="4:8" x14ac:dyDescent="0.3">
      <c r="D107" s="19"/>
      <c r="E107" s="19"/>
      <c r="F107" s="19"/>
      <c r="G107" s="19"/>
      <c r="H107" s="19"/>
    </row>
    <row r="108" spans="4:8" x14ac:dyDescent="0.3">
      <c r="D108" s="19"/>
      <c r="E108" s="19"/>
      <c r="F108" s="19"/>
      <c r="G108" s="19"/>
      <c r="H108" s="19"/>
    </row>
    <row r="109" spans="4:8" x14ac:dyDescent="0.3">
      <c r="D109" s="19"/>
      <c r="E109" s="19"/>
      <c r="F109" s="19"/>
      <c r="G109" s="19"/>
      <c r="H109" s="19"/>
    </row>
    <row r="110" spans="4:8" x14ac:dyDescent="0.3">
      <c r="D110" s="19"/>
      <c r="E110" s="19"/>
      <c r="F110" s="19"/>
      <c r="G110" s="19"/>
      <c r="H110" s="19"/>
    </row>
    <row r="111" spans="4:8" x14ac:dyDescent="0.3">
      <c r="D111" s="19"/>
      <c r="E111" s="19"/>
      <c r="F111" s="19"/>
      <c r="G111" s="19"/>
      <c r="H111" s="19"/>
    </row>
    <row r="112" spans="4:8" x14ac:dyDescent="0.3">
      <c r="D112" s="19"/>
      <c r="E112" s="19"/>
      <c r="F112" s="19"/>
      <c r="G112" s="19"/>
      <c r="H112" s="19"/>
    </row>
    <row r="113" spans="4:8" x14ac:dyDescent="0.3">
      <c r="D113" s="19"/>
      <c r="E113" s="19"/>
      <c r="F113" s="19"/>
      <c r="G113" s="19"/>
      <c r="H113" s="19"/>
    </row>
    <row r="114" spans="4:8" x14ac:dyDescent="0.3">
      <c r="D114" s="19"/>
      <c r="E114" s="19"/>
      <c r="F114" s="19"/>
      <c r="G114" s="19"/>
      <c r="H114" s="19"/>
    </row>
    <row r="115" spans="4:8" x14ac:dyDescent="0.3">
      <c r="D115" s="19"/>
      <c r="E115" s="19"/>
      <c r="F115" s="19"/>
      <c r="G115" s="19"/>
      <c r="H115" s="19"/>
    </row>
    <row r="116" spans="4:8" x14ac:dyDescent="0.3">
      <c r="D116" s="19"/>
      <c r="E116" s="19"/>
      <c r="F116" s="19"/>
      <c r="G116" s="19"/>
      <c r="H116" s="19"/>
    </row>
    <row r="117" spans="4:8" x14ac:dyDescent="0.3">
      <c r="D117" s="19"/>
      <c r="E117" s="19"/>
      <c r="F117" s="19"/>
      <c r="G117" s="19"/>
      <c r="H117" s="19"/>
    </row>
    <row r="118" spans="4:8" x14ac:dyDescent="0.3">
      <c r="D118" s="19"/>
      <c r="E118" s="19"/>
      <c r="F118" s="19"/>
      <c r="G118" s="19"/>
      <c r="H118" s="19"/>
    </row>
    <row r="119" spans="4:8" x14ac:dyDescent="0.3">
      <c r="D119" s="19"/>
      <c r="E119" s="19"/>
      <c r="F119" s="19"/>
      <c r="G119" s="19"/>
      <c r="H119" s="19"/>
    </row>
    <row r="120" spans="4:8" x14ac:dyDescent="0.3">
      <c r="D120" s="19"/>
      <c r="E120" s="19"/>
      <c r="F120" s="19"/>
      <c r="G120" s="19"/>
      <c r="H120" s="19"/>
    </row>
    <row r="121" spans="4:8" x14ac:dyDescent="0.3">
      <c r="D121" s="19"/>
      <c r="E121" s="19"/>
      <c r="F121" s="19"/>
      <c r="G121" s="19"/>
      <c r="H121" s="19"/>
    </row>
    <row r="122" spans="4:8" x14ac:dyDescent="0.3">
      <c r="D122" s="19"/>
      <c r="E122" s="19"/>
      <c r="F122" s="19"/>
      <c r="G122" s="19"/>
      <c r="H122" s="19"/>
    </row>
    <row r="123" spans="4:8" x14ac:dyDescent="0.3">
      <c r="D123" s="19"/>
      <c r="E123" s="19"/>
      <c r="F123" s="19"/>
      <c r="G123" s="19"/>
      <c r="H123" s="19"/>
    </row>
    <row r="124" spans="4:8" x14ac:dyDescent="0.3">
      <c r="D124" s="19"/>
      <c r="E124" s="19"/>
      <c r="F124" s="19"/>
      <c r="G124" s="19"/>
      <c r="H124" s="19"/>
    </row>
    <row r="125" spans="4:8" x14ac:dyDescent="0.3">
      <c r="D125" s="19"/>
      <c r="E125" s="19"/>
      <c r="F125" s="19"/>
      <c r="G125" s="19"/>
      <c r="H125" s="19"/>
    </row>
    <row r="126" spans="4:8" x14ac:dyDescent="0.3">
      <c r="D126" s="19"/>
      <c r="E126" s="19"/>
      <c r="F126" s="19"/>
      <c r="G126" s="19"/>
      <c r="H126" s="19"/>
    </row>
    <row r="127" spans="4:8" x14ac:dyDescent="0.3">
      <c r="D127" s="19"/>
      <c r="E127" s="19"/>
      <c r="F127" s="19"/>
      <c r="G127" s="19"/>
      <c r="H127" s="19"/>
    </row>
    <row r="128" spans="4:8" x14ac:dyDescent="0.3">
      <c r="D128" s="19"/>
      <c r="E128" s="19"/>
      <c r="F128" s="19"/>
      <c r="G128" s="19"/>
      <c r="H128" s="19"/>
    </row>
    <row r="129" spans="4:8" x14ac:dyDescent="0.3">
      <c r="D129" s="19"/>
      <c r="E129" s="19"/>
      <c r="F129" s="19"/>
      <c r="G129" s="19"/>
      <c r="H129" s="19"/>
    </row>
    <row r="130" spans="4:8" x14ac:dyDescent="0.3">
      <c r="D130" s="19"/>
      <c r="E130" s="19"/>
      <c r="F130" s="19"/>
      <c r="G130" s="19"/>
      <c r="H130" s="19"/>
    </row>
    <row r="131" spans="4:8" x14ac:dyDescent="0.3">
      <c r="D131" s="19"/>
      <c r="E131" s="19"/>
      <c r="F131" s="19"/>
      <c r="G131" s="19"/>
      <c r="H131" s="19"/>
    </row>
    <row r="132" spans="4:8" x14ac:dyDescent="0.3">
      <c r="D132" s="19"/>
      <c r="E132" s="19"/>
      <c r="F132" s="19"/>
      <c r="G132" s="19"/>
      <c r="H132" s="19"/>
    </row>
    <row r="133" spans="4:8" x14ac:dyDescent="0.3">
      <c r="D133" s="19"/>
      <c r="E133" s="19"/>
      <c r="F133" s="19"/>
      <c r="G133" s="19"/>
      <c r="H133" s="19"/>
    </row>
    <row r="134" spans="4:8" x14ac:dyDescent="0.3">
      <c r="D134" s="19"/>
      <c r="E134" s="19"/>
      <c r="F134" s="19"/>
      <c r="G134" s="19"/>
      <c r="H134" s="19"/>
    </row>
    <row r="135" spans="4:8" x14ac:dyDescent="0.3">
      <c r="D135" s="19"/>
      <c r="E135" s="19"/>
      <c r="F135" s="19"/>
      <c r="G135" s="19"/>
      <c r="H135" s="19"/>
    </row>
    <row r="136" spans="4:8" x14ac:dyDescent="0.3">
      <c r="D136" s="19"/>
      <c r="E136" s="19"/>
      <c r="F136" s="19"/>
      <c r="G136" s="19"/>
      <c r="H136" s="19"/>
    </row>
    <row r="137" spans="4:8" x14ac:dyDescent="0.3">
      <c r="D137" s="19"/>
      <c r="E137" s="19"/>
      <c r="F137" s="19"/>
      <c r="G137" s="19"/>
      <c r="H137" s="19"/>
    </row>
    <row r="138" spans="4:8" x14ac:dyDescent="0.3">
      <c r="D138" s="19"/>
      <c r="E138" s="19"/>
      <c r="F138" s="19"/>
      <c r="G138" s="19"/>
      <c r="H138" s="19"/>
    </row>
    <row r="139" spans="4:8" x14ac:dyDescent="0.3">
      <c r="D139" s="19"/>
      <c r="E139" s="19"/>
      <c r="F139" s="19"/>
      <c r="G139" s="19"/>
      <c r="H139" s="19"/>
    </row>
    <row r="140" spans="4:8" x14ac:dyDescent="0.3">
      <c r="D140" s="19"/>
      <c r="E140" s="19"/>
      <c r="F140" s="19"/>
      <c r="G140" s="19"/>
      <c r="H140" s="19"/>
    </row>
    <row r="141" spans="4:8" x14ac:dyDescent="0.3">
      <c r="D141" s="19"/>
      <c r="E141" s="19"/>
      <c r="F141" s="19"/>
      <c r="G141" s="19"/>
      <c r="H141" s="19"/>
    </row>
    <row r="142" spans="4:8" x14ac:dyDescent="0.3">
      <c r="D142" s="19"/>
      <c r="E142" s="19"/>
      <c r="F142" s="19"/>
      <c r="G142" s="19"/>
      <c r="H142" s="19"/>
    </row>
    <row r="143" spans="4:8" x14ac:dyDescent="0.3">
      <c r="D143" s="19"/>
      <c r="E143" s="19"/>
      <c r="F143" s="19"/>
      <c r="G143" s="19"/>
      <c r="H143" s="19"/>
    </row>
    <row r="144" spans="4:8" x14ac:dyDescent="0.3">
      <c r="D144" s="19"/>
      <c r="E144" s="19"/>
      <c r="F144" s="19"/>
      <c r="G144" s="19"/>
      <c r="H144" s="19"/>
    </row>
    <row r="145" spans="4:8" x14ac:dyDescent="0.3">
      <c r="D145" s="19"/>
      <c r="E145" s="19"/>
      <c r="F145" s="19"/>
      <c r="G145" s="19"/>
      <c r="H145" s="19"/>
    </row>
    <row r="146" spans="4:8" x14ac:dyDescent="0.3">
      <c r="D146" s="19"/>
      <c r="E146" s="19"/>
      <c r="F146" s="19"/>
      <c r="G146" s="19"/>
      <c r="H146" s="19"/>
    </row>
    <row r="147" spans="4:8" x14ac:dyDescent="0.3">
      <c r="D147" s="19"/>
      <c r="E147" s="19"/>
      <c r="F147" s="19"/>
      <c r="G147" s="19"/>
      <c r="H147" s="19"/>
    </row>
    <row r="148" spans="4:8" x14ac:dyDescent="0.3">
      <c r="D148" s="19"/>
      <c r="E148" s="19"/>
      <c r="F148" s="19"/>
      <c r="G148" s="19"/>
      <c r="H148" s="19"/>
    </row>
    <row r="149" spans="4:8" x14ac:dyDescent="0.3">
      <c r="D149" s="19"/>
      <c r="E149" s="19"/>
      <c r="F149" s="19"/>
      <c r="G149" s="19"/>
      <c r="H149" s="19"/>
    </row>
    <row r="150" spans="4:8" x14ac:dyDescent="0.3">
      <c r="D150" s="19"/>
      <c r="E150" s="19"/>
      <c r="F150" s="19"/>
      <c r="G150" s="19"/>
      <c r="H150" s="19"/>
    </row>
    <row r="151" spans="4:8" x14ac:dyDescent="0.3">
      <c r="D151" s="19"/>
      <c r="E151" s="19"/>
      <c r="F151" s="19"/>
      <c r="G151" s="19"/>
      <c r="H151" s="19"/>
    </row>
    <row r="152" spans="4:8" x14ac:dyDescent="0.3">
      <c r="D152" s="19"/>
      <c r="E152" s="19"/>
      <c r="F152" s="19"/>
      <c r="G152" s="19"/>
      <c r="H152" s="19"/>
    </row>
    <row r="153" spans="4:8" x14ac:dyDescent="0.3">
      <c r="D153" s="19"/>
      <c r="E153" s="19"/>
      <c r="F153" s="19"/>
      <c r="G153" s="19"/>
      <c r="H153" s="19"/>
    </row>
    <row r="154" spans="4:8" x14ac:dyDescent="0.3">
      <c r="D154" s="19"/>
      <c r="E154" s="19"/>
      <c r="F154" s="19"/>
      <c r="G154" s="19"/>
      <c r="H154" s="19"/>
    </row>
    <row r="155" spans="4:8" x14ac:dyDescent="0.3">
      <c r="D155" s="19"/>
      <c r="E155" s="19"/>
      <c r="F155" s="19"/>
      <c r="G155" s="19"/>
      <c r="H155" s="19"/>
    </row>
    <row r="156" spans="4:8" x14ac:dyDescent="0.3">
      <c r="D156" s="19"/>
      <c r="E156" s="19"/>
      <c r="F156" s="19"/>
      <c r="G156" s="19"/>
      <c r="H156" s="19"/>
    </row>
    <row r="157" spans="4:8" x14ac:dyDescent="0.3">
      <c r="D157" s="19"/>
      <c r="E157" s="19"/>
      <c r="F157" s="19"/>
      <c r="G157" s="19"/>
      <c r="H157" s="19"/>
    </row>
    <row r="158" spans="4:8" x14ac:dyDescent="0.3">
      <c r="D158" s="19"/>
      <c r="E158" s="19"/>
      <c r="F158" s="19"/>
      <c r="G158" s="19"/>
      <c r="H158" s="19"/>
    </row>
    <row r="159" spans="4:8" x14ac:dyDescent="0.3">
      <c r="D159" s="19"/>
      <c r="E159" s="19"/>
      <c r="F159" s="19"/>
      <c r="G159" s="19"/>
      <c r="H159" s="19"/>
    </row>
    <row r="160" spans="4:8" x14ac:dyDescent="0.3">
      <c r="D160" s="19"/>
      <c r="E160" s="19"/>
      <c r="F160" s="19"/>
      <c r="G160" s="19"/>
      <c r="H160" s="19"/>
    </row>
    <row r="161" spans="4:8" x14ac:dyDescent="0.3">
      <c r="D161" s="19"/>
      <c r="E161" s="19"/>
      <c r="F161" s="19"/>
      <c r="G161" s="19"/>
      <c r="H161" s="19"/>
    </row>
    <row r="162" spans="4:8" x14ac:dyDescent="0.3">
      <c r="D162" s="19"/>
      <c r="E162" s="19"/>
      <c r="F162" s="19"/>
      <c r="G162" s="19"/>
      <c r="H162" s="19"/>
    </row>
    <row r="163" spans="4:8" x14ac:dyDescent="0.3">
      <c r="D163" s="19"/>
      <c r="E163" s="19"/>
      <c r="F163" s="19"/>
      <c r="G163" s="19"/>
      <c r="H163" s="19"/>
    </row>
    <row r="164" spans="4:8" x14ac:dyDescent="0.3">
      <c r="D164" s="19"/>
      <c r="E164" s="19"/>
      <c r="F164" s="19"/>
      <c r="G164" s="19"/>
      <c r="H164" s="19"/>
    </row>
    <row r="165" spans="4:8" x14ac:dyDescent="0.3">
      <c r="D165" s="19"/>
      <c r="E165" s="19"/>
      <c r="F165" s="19"/>
      <c r="G165" s="19"/>
      <c r="H165" s="19"/>
    </row>
    <row r="166" spans="4:8" x14ac:dyDescent="0.3">
      <c r="D166" s="19"/>
      <c r="E166" s="19"/>
      <c r="F166" s="19"/>
      <c r="G166" s="19"/>
      <c r="H166" s="19"/>
    </row>
    <row r="167" spans="4:8" x14ac:dyDescent="0.3">
      <c r="D167" s="19"/>
      <c r="E167" s="19"/>
      <c r="F167" s="19"/>
      <c r="G167" s="19"/>
      <c r="H167" s="19"/>
    </row>
    <row r="168" spans="4:8" x14ac:dyDescent="0.3">
      <c r="D168" s="19"/>
      <c r="E168" s="19"/>
      <c r="F168" s="19"/>
      <c r="G168" s="19"/>
      <c r="H168" s="19"/>
    </row>
    <row r="169" spans="4:8" x14ac:dyDescent="0.3">
      <c r="D169" s="19"/>
      <c r="E169" s="19"/>
      <c r="F169" s="19"/>
      <c r="G169" s="19"/>
      <c r="H169" s="19"/>
    </row>
    <row r="170" spans="4:8" x14ac:dyDescent="0.3">
      <c r="D170" s="19"/>
      <c r="E170" s="19"/>
      <c r="F170" s="19"/>
      <c r="G170" s="19"/>
      <c r="H170" s="19"/>
    </row>
    <row r="171" spans="4:8" x14ac:dyDescent="0.3">
      <c r="D171" s="19"/>
      <c r="E171" s="19"/>
      <c r="F171" s="19"/>
      <c r="G171" s="19"/>
      <c r="H171" s="19"/>
    </row>
    <row r="172" spans="4:8" x14ac:dyDescent="0.3">
      <c r="D172" s="19"/>
      <c r="E172" s="19"/>
      <c r="F172" s="19"/>
      <c r="G172" s="19"/>
      <c r="H172" s="19"/>
    </row>
    <row r="173" spans="4:8" x14ac:dyDescent="0.3">
      <c r="D173" s="19"/>
      <c r="E173" s="19"/>
      <c r="F173" s="19"/>
      <c r="G173" s="19"/>
      <c r="H173" s="19"/>
    </row>
    <row r="174" spans="4:8" x14ac:dyDescent="0.3">
      <c r="D174" s="19"/>
      <c r="E174" s="19"/>
      <c r="F174" s="19"/>
      <c r="G174" s="19"/>
      <c r="H174" s="19"/>
    </row>
    <row r="175" spans="4:8" x14ac:dyDescent="0.3">
      <c r="D175" s="19"/>
      <c r="E175" s="19"/>
      <c r="F175" s="19"/>
      <c r="G175" s="19"/>
      <c r="H175" s="19"/>
    </row>
    <row r="176" spans="4:8" x14ac:dyDescent="0.3">
      <c r="D176" s="19"/>
      <c r="E176" s="19"/>
      <c r="F176" s="19"/>
      <c r="G176" s="19"/>
      <c r="H176" s="19"/>
    </row>
    <row r="177" spans="4:8" x14ac:dyDescent="0.3">
      <c r="D177" s="19"/>
      <c r="E177" s="19"/>
      <c r="F177" s="19"/>
      <c r="G177" s="19"/>
      <c r="H177" s="19"/>
    </row>
    <row r="178" spans="4:8" x14ac:dyDescent="0.3">
      <c r="D178" s="19"/>
      <c r="E178" s="19"/>
      <c r="F178" s="19"/>
      <c r="G178" s="19"/>
      <c r="H178" s="19"/>
    </row>
    <row r="179" spans="4:8" x14ac:dyDescent="0.3">
      <c r="D179" s="19"/>
      <c r="E179" s="19"/>
      <c r="F179" s="19"/>
      <c r="G179" s="19"/>
      <c r="H179" s="19"/>
    </row>
    <row r="180" spans="4:8" x14ac:dyDescent="0.3">
      <c r="D180" s="19"/>
      <c r="E180" s="19"/>
      <c r="F180" s="19"/>
      <c r="G180" s="19"/>
      <c r="H180" s="19"/>
    </row>
    <row r="181" spans="4:8" x14ac:dyDescent="0.3">
      <c r="D181" s="19"/>
      <c r="E181" s="19"/>
      <c r="F181" s="19"/>
      <c r="G181" s="19"/>
      <c r="H181" s="19"/>
    </row>
    <row r="182" spans="4:8" x14ac:dyDescent="0.3">
      <c r="D182" s="19"/>
      <c r="E182" s="19"/>
      <c r="F182" s="19"/>
      <c r="G182" s="19"/>
      <c r="H182" s="19"/>
    </row>
    <row r="183" spans="4:8" x14ac:dyDescent="0.3">
      <c r="D183" s="19"/>
      <c r="E183" s="19"/>
      <c r="F183" s="19"/>
      <c r="G183" s="19"/>
      <c r="H183" s="19"/>
    </row>
    <row r="184" spans="4:8" x14ac:dyDescent="0.3">
      <c r="D184" s="19"/>
      <c r="E184" s="19"/>
      <c r="F184" s="19"/>
      <c r="G184" s="19"/>
      <c r="H184" s="19"/>
    </row>
    <row r="185" spans="4:8" x14ac:dyDescent="0.3">
      <c r="D185" s="19"/>
      <c r="E185" s="19"/>
      <c r="F185" s="19"/>
      <c r="G185" s="19"/>
      <c r="H185" s="19"/>
    </row>
    <row r="186" spans="4:8" x14ac:dyDescent="0.3">
      <c r="D186" s="19"/>
      <c r="E186" s="19"/>
      <c r="F186" s="19"/>
      <c r="G186" s="19"/>
      <c r="H186" s="19"/>
    </row>
    <row r="187" spans="4:8" x14ac:dyDescent="0.3">
      <c r="D187" s="19"/>
      <c r="E187" s="19"/>
      <c r="F187" s="19"/>
      <c r="G187" s="19"/>
      <c r="H187" s="19"/>
    </row>
    <row r="188" spans="4:8" x14ac:dyDescent="0.3">
      <c r="D188" s="19"/>
      <c r="E188" s="19"/>
      <c r="F188" s="19"/>
      <c r="G188" s="19"/>
      <c r="H188" s="19"/>
    </row>
    <row r="189" spans="4:8" x14ac:dyDescent="0.3">
      <c r="D189" s="19"/>
      <c r="E189" s="19"/>
      <c r="F189" s="19"/>
      <c r="G189" s="19"/>
      <c r="H189" s="19"/>
    </row>
    <row r="190" spans="4:8" x14ac:dyDescent="0.3">
      <c r="D190" s="19"/>
      <c r="E190" s="19"/>
      <c r="F190" s="19"/>
      <c r="G190" s="19"/>
      <c r="H190" s="19"/>
    </row>
    <row r="191" spans="4:8" x14ac:dyDescent="0.3">
      <c r="D191" s="19"/>
      <c r="E191" s="19"/>
      <c r="F191" s="19"/>
      <c r="G191" s="19"/>
      <c r="H191" s="19"/>
    </row>
    <row r="192" spans="4:8" x14ac:dyDescent="0.3">
      <c r="D192" s="19"/>
      <c r="E192" s="19"/>
      <c r="F192" s="19"/>
      <c r="G192" s="19"/>
      <c r="H192" s="19"/>
    </row>
    <row r="193" spans="4:8" x14ac:dyDescent="0.3">
      <c r="D193" s="19"/>
      <c r="E193" s="19"/>
      <c r="F193" s="19"/>
      <c r="G193" s="19"/>
      <c r="H193" s="19"/>
    </row>
    <row r="194" spans="4:8" x14ac:dyDescent="0.3">
      <c r="D194" s="19"/>
      <c r="E194" s="19"/>
      <c r="F194" s="19"/>
      <c r="G194" s="19"/>
      <c r="H194" s="19"/>
    </row>
    <row r="195" spans="4:8" x14ac:dyDescent="0.3">
      <c r="D195" s="19"/>
      <c r="E195" s="19"/>
      <c r="F195" s="19"/>
      <c r="G195" s="19"/>
      <c r="H195" s="19"/>
    </row>
    <row r="196" spans="4:8" x14ac:dyDescent="0.3">
      <c r="D196" s="19"/>
      <c r="E196" s="19"/>
      <c r="F196" s="19"/>
      <c r="G196" s="19"/>
      <c r="H196" s="19"/>
    </row>
    <row r="197" spans="4:8" x14ac:dyDescent="0.3">
      <c r="D197" s="19"/>
      <c r="E197" s="19"/>
      <c r="F197" s="19"/>
      <c r="G197" s="19"/>
      <c r="H197" s="19"/>
    </row>
    <row r="198" spans="4:8" x14ac:dyDescent="0.3">
      <c r="D198" s="19"/>
      <c r="E198" s="19"/>
      <c r="F198" s="19"/>
      <c r="G198" s="19"/>
      <c r="H198" s="19"/>
    </row>
    <row r="199" spans="4:8" x14ac:dyDescent="0.3">
      <c r="D199" s="19"/>
      <c r="E199" s="19"/>
      <c r="F199" s="19"/>
      <c r="G199" s="19"/>
      <c r="H199" s="19"/>
    </row>
    <row r="200" spans="4:8" x14ac:dyDescent="0.3">
      <c r="D200" s="19"/>
      <c r="E200" s="19"/>
      <c r="F200" s="19"/>
      <c r="G200" s="19"/>
      <c r="H200" s="19"/>
    </row>
    <row r="201" spans="4:8" x14ac:dyDescent="0.3">
      <c r="D201" s="19"/>
      <c r="E201" s="19"/>
      <c r="F201" s="19"/>
      <c r="G201" s="19"/>
      <c r="H201" s="19"/>
    </row>
    <row r="202" spans="4:8" x14ac:dyDescent="0.3">
      <c r="D202" s="19"/>
      <c r="E202" s="19"/>
      <c r="F202" s="19"/>
      <c r="G202" s="19"/>
      <c r="H202" s="19"/>
    </row>
    <row r="203" spans="4:8" x14ac:dyDescent="0.3">
      <c r="D203" s="19"/>
      <c r="E203" s="19"/>
      <c r="F203" s="19"/>
      <c r="G203" s="19"/>
      <c r="H203" s="19"/>
    </row>
    <row r="204" spans="4:8" x14ac:dyDescent="0.3">
      <c r="D204" s="19"/>
      <c r="E204" s="19"/>
      <c r="F204" s="19"/>
      <c r="G204" s="19"/>
      <c r="H204" s="19"/>
    </row>
    <row r="205" spans="4:8" x14ac:dyDescent="0.3">
      <c r="D205" s="19"/>
      <c r="E205" s="19"/>
      <c r="F205" s="19"/>
      <c r="G205" s="19"/>
      <c r="H205" s="19"/>
    </row>
    <row r="206" spans="4:8" x14ac:dyDescent="0.3">
      <c r="D206" s="19"/>
      <c r="E206" s="19"/>
      <c r="F206" s="19"/>
      <c r="G206" s="19"/>
      <c r="H206" s="19"/>
    </row>
    <row r="207" spans="4:8" x14ac:dyDescent="0.3">
      <c r="D207" s="19"/>
      <c r="E207" s="19"/>
      <c r="F207" s="19"/>
      <c r="G207" s="19"/>
      <c r="H207" s="19"/>
    </row>
    <row r="208" spans="4:8" x14ac:dyDescent="0.3">
      <c r="D208" s="19"/>
      <c r="E208" s="19"/>
      <c r="F208" s="19"/>
      <c r="G208" s="19"/>
      <c r="H208" s="19"/>
    </row>
    <row r="209" spans="4:8" x14ac:dyDescent="0.3">
      <c r="D209" s="19"/>
      <c r="E209" s="19"/>
      <c r="F209" s="19"/>
      <c r="G209" s="19"/>
      <c r="H209" s="19"/>
    </row>
    <row r="210" spans="4:8" x14ac:dyDescent="0.3">
      <c r="D210" s="19"/>
      <c r="E210" s="19"/>
      <c r="F210" s="19"/>
      <c r="G210" s="19"/>
      <c r="H210" s="19"/>
    </row>
    <row r="211" spans="4:8" x14ac:dyDescent="0.3">
      <c r="D211" s="19"/>
      <c r="E211" s="19"/>
      <c r="F211" s="19"/>
      <c r="G211" s="19"/>
      <c r="H211" s="19"/>
    </row>
    <row r="212" spans="4:8" x14ac:dyDescent="0.3">
      <c r="D212" s="19"/>
      <c r="E212" s="19"/>
      <c r="F212" s="19"/>
      <c r="G212" s="19"/>
      <c r="H212" s="19"/>
    </row>
    <row r="213" spans="4:8" x14ac:dyDescent="0.3">
      <c r="D213" s="19"/>
      <c r="E213" s="19"/>
      <c r="F213" s="19"/>
      <c r="G213" s="19"/>
      <c r="H213" s="19"/>
    </row>
    <row r="214" spans="4:8" x14ac:dyDescent="0.3">
      <c r="D214" s="19"/>
      <c r="E214" s="19"/>
      <c r="F214" s="19"/>
      <c r="G214" s="19"/>
      <c r="H214" s="19"/>
    </row>
    <row r="215" spans="4:8" x14ac:dyDescent="0.3">
      <c r="D215" s="19"/>
      <c r="E215" s="19"/>
      <c r="F215" s="19"/>
      <c r="G215" s="19"/>
      <c r="H215" s="19"/>
    </row>
    <row r="216" spans="4:8" x14ac:dyDescent="0.3">
      <c r="D216" s="19"/>
      <c r="E216" s="19"/>
      <c r="F216" s="19"/>
      <c r="G216" s="19"/>
      <c r="H216" s="19"/>
    </row>
    <row r="217" spans="4:8" x14ac:dyDescent="0.3">
      <c r="D217" s="19"/>
      <c r="E217" s="19"/>
      <c r="F217" s="19"/>
      <c r="G217" s="19"/>
      <c r="H217" s="19"/>
    </row>
    <row r="218" spans="4:8" x14ac:dyDescent="0.3">
      <c r="D218" s="19"/>
      <c r="E218" s="19"/>
      <c r="F218" s="19"/>
      <c r="G218" s="19"/>
      <c r="H218" s="19"/>
    </row>
    <row r="219" spans="4:8" x14ac:dyDescent="0.3">
      <c r="D219" s="19"/>
      <c r="E219" s="19"/>
      <c r="F219" s="19"/>
      <c r="G219" s="19"/>
      <c r="H219" s="19"/>
    </row>
    <row r="220" spans="4:8" x14ac:dyDescent="0.3">
      <c r="D220" s="19"/>
      <c r="E220" s="19"/>
      <c r="F220" s="19"/>
      <c r="G220" s="19"/>
      <c r="H220" s="19"/>
    </row>
    <row r="221" spans="4:8" x14ac:dyDescent="0.3">
      <c r="D221" s="19"/>
      <c r="E221" s="19"/>
      <c r="F221" s="19"/>
      <c r="G221" s="19"/>
      <c r="H221" s="19"/>
    </row>
    <row r="222" spans="4:8" x14ac:dyDescent="0.3">
      <c r="D222" s="19"/>
      <c r="E222" s="19"/>
      <c r="F222" s="19"/>
      <c r="G222" s="19"/>
      <c r="H222" s="19"/>
    </row>
    <row r="223" spans="4:8" x14ac:dyDescent="0.3">
      <c r="D223" s="19"/>
      <c r="E223" s="19"/>
      <c r="F223" s="19"/>
      <c r="G223" s="19"/>
      <c r="H223" s="19"/>
    </row>
    <row r="224" spans="4:8" x14ac:dyDescent="0.3">
      <c r="D224" s="19"/>
      <c r="E224" s="19"/>
      <c r="F224" s="19"/>
      <c r="G224" s="19"/>
      <c r="H224" s="19"/>
    </row>
    <row r="225" spans="4:8" x14ac:dyDescent="0.3">
      <c r="D225" s="19"/>
      <c r="E225" s="19"/>
      <c r="F225" s="19"/>
      <c r="G225" s="19"/>
      <c r="H225" s="19"/>
    </row>
    <row r="226" spans="4:8" x14ac:dyDescent="0.3">
      <c r="D226" s="19"/>
      <c r="E226" s="19"/>
      <c r="F226" s="19"/>
      <c r="G226" s="19"/>
      <c r="H226" s="19"/>
    </row>
    <row r="227" spans="4:8" x14ac:dyDescent="0.3">
      <c r="D227" s="19"/>
      <c r="E227" s="19"/>
      <c r="F227" s="19"/>
      <c r="G227" s="19"/>
      <c r="H227" s="19"/>
    </row>
    <row r="228" spans="4:8" x14ac:dyDescent="0.3">
      <c r="D228" s="19"/>
      <c r="E228" s="19"/>
      <c r="F228" s="19"/>
      <c r="G228" s="19"/>
      <c r="H228" s="19"/>
    </row>
    <row r="229" spans="4:8" x14ac:dyDescent="0.3">
      <c r="D229" s="19"/>
      <c r="E229" s="19"/>
      <c r="F229" s="19"/>
      <c r="G229" s="19"/>
      <c r="H229" s="19"/>
    </row>
    <row r="230" spans="4:8" x14ac:dyDescent="0.3">
      <c r="D230" s="19"/>
      <c r="E230" s="19"/>
      <c r="F230" s="19"/>
      <c r="G230" s="19"/>
      <c r="H230" s="19"/>
    </row>
    <row r="231" spans="4:8" x14ac:dyDescent="0.3">
      <c r="D231" s="19"/>
      <c r="E231" s="19"/>
      <c r="F231" s="19"/>
      <c r="G231" s="19"/>
      <c r="H231" s="19"/>
    </row>
    <row r="232" spans="4:8" x14ac:dyDescent="0.3">
      <c r="D232" s="19"/>
      <c r="E232" s="19"/>
      <c r="F232" s="19"/>
      <c r="G232" s="19"/>
      <c r="H232" s="19"/>
    </row>
    <row r="233" spans="4:8" x14ac:dyDescent="0.3">
      <c r="D233" s="19"/>
      <c r="E233" s="19"/>
      <c r="F233" s="19"/>
      <c r="G233" s="19"/>
      <c r="H233" s="19"/>
    </row>
    <row r="234" spans="4:8" x14ac:dyDescent="0.3">
      <c r="D234" s="19"/>
      <c r="E234" s="19"/>
      <c r="F234" s="19"/>
      <c r="G234" s="19"/>
      <c r="H234" s="19"/>
    </row>
    <row r="235" spans="4:8" x14ac:dyDescent="0.3">
      <c r="D235" s="19"/>
      <c r="E235" s="19"/>
      <c r="F235" s="19"/>
      <c r="G235" s="19"/>
      <c r="H235" s="19"/>
    </row>
    <row r="236" spans="4:8" x14ac:dyDescent="0.3">
      <c r="D236" s="19"/>
      <c r="E236" s="19"/>
      <c r="F236" s="19"/>
      <c r="G236" s="19"/>
      <c r="H236" s="19"/>
    </row>
    <row r="237" spans="4:8" x14ac:dyDescent="0.3">
      <c r="D237" s="19"/>
      <c r="E237" s="19"/>
      <c r="F237" s="19"/>
      <c r="G237" s="19"/>
      <c r="H237" s="19"/>
    </row>
    <row r="238" spans="4:8" x14ac:dyDescent="0.3">
      <c r="D238" s="19"/>
      <c r="E238" s="19"/>
      <c r="F238" s="19"/>
      <c r="G238" s="19"/>
      <c r="H238" s="19"/>
    </row>
    <row r="239" spans="4:8" x14ac:dyDescent="0.3">
      <c r="D239" s="19"/>
      <c r="E239" s="19"/>
      <c r="F239" s="19"/>
      <c r="G239" s="19"/>
      <c r="H239" s="19"/>
    </row>
    <row r="240" spans="4:8" x14ac:dyDescent="0.3">
      <c r="D240" s="19"/>
      <c r="E240" s="19"/>
      <c r="F240" s="19"/>
      <c r="G240" s="19"/>
      <c r="H240" s="19"/>
    </row>
    <row r="241" spans="4:8" x14ac:dyDescent="0.3">
      <c r="D241" s="19"/>
      <c r="E241" s="19"/>
      <c r="F241" s="19"/>
      <c r="G241" s="19"/>
      <c r="H241" s="19"/>
    </row>
    <row r="242" spans="4:8" x14ac:dyDescent="0.3">
      <c r="D242" s="19"/>
      <c r="E242" s="19"/>
      <c r="F242" s="19"/>
      <c r="G242" s="19"/>
      <c r="H242" s="19"/>
    </row>
    <row r="243" spans="4:8" x14ac:dyDescent="0.3">
      <c r="D243" s="19"/>
      <c r="E243" s="19"/>
      <c r="F243" s="19"/>
      <c r="G243" s="19"/>
      <c r="H243" s="19"/>
    </row>
    <row r="244" spans="4:8" x14ac:dyDescent="0.3">
      <c r="D244" s="19"/>
      <c r="E244" s="19"/>
      <c r="F244" s="19"/>
      <c r="G244" s="19"/>
      <c r="H244" s="19"/>
    </row>
    <row r="245" spans="4:8" x14ac:dyDescent="0.3">
      <c r="D245" s="19"/>
      <c r="E245" s="19"/>
      <c r="F245" s="19"/>
      <c r="G245" s="19"/>
      <c r="H245" s="19"/>
    </row>
    <row r="246" spans="4:8" x14ac:dyDescent="0.3">
      <c r="D246" s="19"/>
      <c r="E246" s="19"/>
      <c r="F246" s="19"/>
      <c r="G246" s="19"/>
      <c r="H246" s="19"/>
    </row>
    <row r="247" spans="4:8" x14ac:dyDescent="0.3">
      <c r="D247" s="19"/>
      <c r="E247" s="19"/>
      <c r="F247" s="19"/>
      <c r="G247" s="19"/>
      <c r="H247" s="19"/>
    </row>
    <row r="248" spans="4:8" x14ac:dyDescent="0.3">
      <c r="D248" s="19"/>
      <c r="E248" s="19"/>
      <c r="F248" s="19"/>
      <c r="G248" s="19"/>
      <c r="H248" s="19"/>
    </row>
    <row r="249" spans="4:8" x14ac:dyDescent="0.3">
      <c r="D249" s="19"/>
      <c r="E249" s="19"/>
      <c r="F249" s="19"/>
      <c r="G249" s="19"/>
      <c r="H249" s="19"/>
    </row>
    <row r="250" spans="4:8" x14ac:dyDescent="0.3">
      <c r="D250" s="19"/>
      <c r="E250" s="19"/>
      <c r="F250" s="19"/>
      <c r="G250" s="19"/>
      <c r="H250" s="19"/>
    </row>
    <row r="251" spans="4:8" x14ac:dyDescent="0.3">
      <c r="D251" s="19"/>
      <c r="E251" s="19"/>
      <c r="F251" s="19"/>
      <c r="G251" s="19"/>
      <c r="H251" s="19"/>
    </row>
    <row r="252" spans="4:8" x14ac:dyDescent="0.3">
      <c r="D252" s="19"/>
      <c r="E252" s="19"/>
      <c r="F252" s="19"/>
      <c r="G252" s="19"/>
      <c r="H252" s="19"/>
    </row>
    <row r="253" spans="4:8" x14ac:dyDescent="0.3">
      <c r="D253" s="19"/>
      <c r="E253" s="19"/>
      <c r="F253" s="19"/>
      <c r="G253" s="19"/>
      <c r="H253" s="19"/>
    </row>
    <row r="254" spans="4:8" x14ac:dyDescent="0.3">
      <c r="D254" s="19"/>
      <c r="E254" s="19"/>
      <c r="F254" s="19"/>
      <c r="G254" s="19"/>
      <c r="H254" s="19"/>
    </row>
    <row r="255" spans="4:8" x14ac:dyDescent="0.3">
      <c r="D255" s="19"/>
      <c r="E255" s="19"/>
      <c r="F255" s="19"/>
      <c r="G255" s="19"/>
      <c r="H255" s="19"/>
    </row>
    <row r="256" spans="4:8" x14ac:dyDescent="0.3">
      <c r="D256" s="19"/>
      <c r="E256" s="19"/>
      <c r="F256" s="19"/>
      <c r="G256" s="19"/>
      <c r="H256" s="19"/>
    </row>
    <row r="257" spans="4:8" x14ac:dyDescent="0.3">
      <c r="D257" s="19"/>
      <c r="E257" s="19"/>
      <c r="F257" s="19"/>
      <c r="G257" s="19"/>
      <c r="H257" s="19"/>
    </row>
    <row r="258" spans="4:8" x14ac:dyDescent="0.3">
      <c r="D258" s="19"/>
      <c r="E258" s="19"/>
      <c r="F258" s="19"/>
      <c r="G258" s="19"/>
      <c r="H258" s="19"/>
    </row>
    <row r="259" spans="4:8" x14ac:dyDescent="0.3">
      <c r="D259" s="19"/>
      <c r="E259" s="19"/>
      <c r="F259" s="19"/>
      <c r="G259" s="19"/>
      <c r="H259" s="19"/>
    </row>
    <row r="260" spans="4:8" x14ac:dyDescent="0.3">
      <c r="D260" s="19"/>
      <c r="E260" s="19"/>
      <c r="F260" s="19"/>
      <c r="G260" s="19"/>
      <c r="H260" s="19"/>
    </row>
    <row r="261" spans="4:8" x14ac:dyDescent="0.3">
      <c r="D261" s="19"/>
      <c r="E261" s="19"/>
      <c r="F261" s="19"/>
      <c r="G261" s="19"/>
      <c r="H261" s="19"/>
    </row>
    <row r="262" spans="4:8" x14ac:dyDescent="0.3">
      <c r="D262" s="19"/>
      <c r="E262" s="19"/>
      <c r="F262" s="19"/>
      <c r="G262" s="19"/>
      <c r="H262" s="19"/>
    </row>
    <row r="263" spans="4:8" x14ac:dyDescent="0.3">
      <c r="D263" s="19"/>
      <c r="E263" s="19"/>
      <c r="F263" s="19"/>
      <c r="G263" s="19"/>
      <c r="H263" s="19"/>
    </row>
    <row r="264" spans="4:8" x14ac:dyDescent="0.3">
      <c r="D264" s="19"/>
      <c r="E264" s="19"/>
      <c r="F264" s="19"/>
      <c r="G264" s="19"/>
      <c r="H264" s="19"/>
    </row>
    <row r="265" spans="4:8" x14ac:dyDescent="0.3">
      <c r="D265" s="19"/>
      <c r="E265" s="19"/>
      <c r="F265" s="19"/>
      <c r="G265" s="19"/>
      <c r="H265" s="19"/>
    </row>
    <row r="266" spans="4:8" x14ac:dyDescent="0.3">
      <c r="D266" s="19"/>
      <c r="E266" s="19"/>
      <c r="F266" s="19"/>
      <c r="G266" s="19"/>
      <c r="H266" s="19"/>
    </row>
    <row r="267" spans="4:8" x14ac:dyDescent="0.3">
      <c r="D267" s="19"/>
      <c r="E267" s="19"/>
      <c r="F267" s="19"/>
      <c r="G267" s="19"/>
      <c r="H267" s="19"/>
    </row>
    <row r="268" spans="4:8" x14ac:dyDescent="0.3">
      <c r="D268" s="19"/>
      <c r="E268" s="19"/>
      <c r="F268" s="19"/>
      <c r="G268" s="19"/>
      <c r="H268" s="19"/>
    </row>
    <row r="269" spans="4:8" x14ac:dyDescent="0.3">
      <c r="D269" s="19"/>
      <c r="E269" s="19"/>
      <c r="F269" s="19"/>
      <c r="G269" s="19"/>
      <c r="H269" s="19"/>
    </row>
    <row r="270" spans="4:8" x14ac:dyDescent="0.3">
      <c r="D270" s="19"/>
      <c r="E270" s="19"/>
      <c r="F270" s="19"/>
      <c r="G270" s="19"/>
      <c r="H270" s="19"/>
    </row>
    <row r="271" spans="4:8" x14ac:dyDescent="0.3">
      <c r="D271" s="19"/>
      <c r="E271" s="19"/>
      <c r="F271" s="19"/>
      <c r="G271" s="19"/>
      <c r="H271" s="19"/>
    </row>
    <row r="272" spans="4:8" x14ac:dyDescent="0.3">
      <c r="D272" s="19"/>
      <c r="E272" s="19"/>
      <c r="F272" s="19"/>
      <c r="G272" s="19"/>
      <c r="H272" s="19"/>
    </row>
    <row r="273" spans="4:8" x14ac:dyDescent="0.3">
      <c r="D273" s="19"/>
      <c r="E273" s="19"/>
      <c r="F273" s="19"/>
      <c r="G273" s="19"/>
      <c r="H273" s="19"/>
    </row>
    <row r="274" spans="4:8" x14ac:dyDescent="0.3">
      <c r="D274" s="19"/>
      <c r="E274" s="19"/>
      <c r="F274" s="19"/>
      <c r="G274" s="19"/>
      <c r="H274" s="19"/>
    </row>
    <row r="275" spans="4:8" x14ac:dyDescent="0.3">
      <c r="D275" s="19"/>
      <c r="E275" s="19"/>
      <c r="F275" s="19"/>
      <c r="G275" s="19"/>
      <c r="H275" s="19"/>
    </row>
    <row r="276" spans="4:8" x14ac:dyDescent="0.3">
      <c r="D276" s="19"/>
      <c r="E276" s="19"/>
      <c r="F276" s="19"/>
      <c r="G276" s="19"/>
      <c r="H276" s="19"/>
    </row>
    <row r="277" spans="4:8" x14ac:dyDescent="0.3">
      <c r="D277" s="19"/>
      <c r="E277" s="19"/>
      <c r="F277" s="19"/>
      <c r="G277" s="19"/>
      <c r="H277" s="19"/>
    </row>
    <row r="278" spans="4:8" x14ac:dyDescent="0.3">
      <c r="D278" s="19"/>
      <c r="E278" s="19"/>
      <c r="F278" s="19"/>
      <c r="G278" s="19"/>
      <c r="H278" s="19"/>
    </row>
    <row r="279" spans="4:8" x14ac:dyDescent="0.3">
      <c r="D279" s="19"/>
      <c r="E279" s="19"/>
      <c r="F279" s="19"/>
      <c r="G279" s="19"/>
      <c r="H279" s="19"/>
    </row>
    <row r="280" spans="4:8" x14ac:dyDescent="0.3">
      <c r="D280" s="19"/>
      <c r="E280" s="19"/>
      <c r="F280" s="19"/>
      <c r="G280" s="19"/>
      <c r="H280" s="19"/>
    </row>
    <row r="281" spans="4:8" x14ac:dyDescent="0.3">
      <c r="D281" s="19"/>
      <c r="E281" s="19"/>
      <c r="F281" s="19"/>
      <c r="G281" s="19"/>
      <c r="H281" s="19"/>
    </row>
    <row r="282" spans="4:8" x14ac:dyDescent="0.3">
      <c r="D282" s="19"/>
      <c r="E282" s="19"/>
      <c r="F282" s="19"/>
      <c r="G282" s="19"/>
      <c r="H282" s="19"/>
    </row>
    <row r="283" spans="4:8" x14ac:dyDescent="0.3">
      <c r="D283" s="19"/>
      <c r="E283" s="19"/>
      <c r="F283" s="19"/>
      <c r="G283" s="19"/>
      <c r="H283" s="19"/>
    </row>
    <row r="284" spans="4:8" x14ac:dyDescent="0.3">
      <c r="D284" s="19"/>
      <c r="E284" s="19"/>
      <c r="F284" s="19"/>
      <c r="G284" s="19"/>
      <c r="H284" s="19"/>
    </row>
    <row r="285" spans="4:8" x14ac:dyDescent="0.3">
      <c r="D285" s="19"/>
      <c r="E285" s="19"/>
      <c r="F285" s="19"/>
      <c r="G285" s="19"/>
      <c r="H285" s="19"/>
    </row>
    <row r="286" spans="4:8" x14ac:dyDescent="0.3">
      <c r="D286" s="19"/>
      <c r="E286" s="19"/>
      <c r="F286" s="19"/>
      <c r="G286" s="19"/>
      <c r="H286" s="19"/>
    </row>
    <row r="287" spans="4:8" x14ac:dyDescent="0.3">
      <c r="D287" s="19"/>
      <c r="E287" s="19"/>
      <c r="F287" s="19"/>
      <c r="G287" s="19"/>
      <c r="H287" s="19"/>
    </row>
    <row r="288" spans="4:8" x14ac:dyDescent="0.3">
      <c r="D288" s="19"/>
      <c r="E288" s="19"/>
      <c r="F288" s="19"/>
      <c r="G288" s="19"/>
      <c r="H288" s="19"/>
    </row>
    <row r="289" spans="4:8" x14ac:dyDescent="0.3">
      <c r="D289" s="19"/>
      <c r="E289" s="19"/>
      <c r="F289" s="19"/>
      <c r="G289" s="19"/>
      <c r="H289" s="19"/>
    </row>
    <row r="290" spans="4:8" x14ac:dyDescent="0.3">
      <c r="D290" s="19"/>
      <c r="E290" s="19"/>
      <c r="F290" s="19"/>
      <c r="G290" s="19"/>
      <c r="H290" s="19"/>
    </row>
    <row r="291" spans="4:8" x14ac:dyDescent="0.3">
      <c r="D291" s="19"/>
      <c r="E291" s="19"/>
      <c r="F291" s="19"/>
      <c r="G291" s="19"/>
      <c r="H291" s="19"/>
    </row>
    <row r="292" spans="4:8" x14ac:dyDescent="0.3">
      <c r="D292" s="19"/>
      <c r="E292" s="19"/>
      <c r="F292" s="19"/>
      <c r="G292" s="19"/>
      <c r="H292" s="19"/>
    </row>
    <row r="293" spans="4:8" x14ac:dyDescent="0.3">
      <c r="D293" s="19"/>
      <c r="E293" s="19"/>
      <c r="F293" s="19"/>
      <c r="G293" s="19"/>
      <c r="H293" s="19"/>
    </row>
    <row r="294" spans="4:8" x14ac:dyDescent="0.3">
      <c r="D294" s="19"/>
      <c r="E294" s="19"/>
      <c r="F294" s="19"/>
      <c r="G294" s="19"/>
      <c r="H294" s="19"/>
    </row>
    <row r="295" spans="4:8" x14ac:dyDescent="0.3">
      <c r="D295" s="19"/>
      <c r="E295" s="19"/>
      <c r="F295" s="19"/>
      <c r="G295" s="19"/>
      <c r="H295" s="19"/>
    </row>
    <row r="296" spans="4:8" x14ac:dyDescent="0.3">
      <c r="D296" s="19"/>
      <c r="E296" s="19"/>
      <c r="F296" s="19"/>
      <c r="G296" s="19"/>
      <c r="H296" s="19"/>
    </row>
    <row r="297" spans="4:8" x14ac:dyDescent="0.3">
      <c r="D297" s="19"/>
      <c r="E297" s="19"/>
      <c r="F297" s="19"/>
      <c r="G297" s="19"/>
      <c r="H297" s="19"/>
    </row>
    <row r="298" spans="4:8" x14ac:dyDescent="0.3">
      <c r="D298" s="19"/>
      <c r="E298" s="19"/>
      <c r="F298" s="19"/>
      <c r="G298" s="19"/>
      <c r="H298" s="19"/>
    </row>
    <row r="299" spans="4:8" x14ac:dyDescent="0.3">
      <c r="D299" s="19"/>
      <c r="E299" s="19"/>
      <c r="F299" s="19"/>
      <c r="G299" s="19"/>
      <c r="H299" s="19"/>
    </row>
    <row r="300" spans="4:8" x14ac:dyDescent="0.3">
      <c r="D300" s="19"/>
      <c r="E300" s="19"/>
      <c r="F300" s="19"/>
      <c r="G300" s="19"/>
      <c r="H300" s="19"/>
    </row>
    <row r="301" spans="4:8" x14ac:dyDescent="0.3">
      <c r="D301" s="19"/>
      <c r="E301" s="19"/>
      <c r="F301" s="19"/>
      <c r="G301" s="19"/>
      <c r="H301" s="19"/>
    </row>
    <row r="302" spans="4:8" x14ac:dyDescent="0.3">
      <c r="D302" s="19"/>
      <c r="E302" s="19"/>
      <c r="F302" s="19"/>
      <c r="G302" s="19"/>
      <c r="H302" s="19"/>
    </row>
    <row r="303" spans="4:8" x14ac:dyDescent="0.3">
      <c r="D303" s="19"/>
      <c r="E303" s="19"/>
      <c r="F303" s="19"/>
      <c r="G303" s="19"/>
      <c r="H303" s="19"/>
    </row>
    <row r="304" spans="4:8" x14ac:dyDescent="0.3">
      <c r="D304" s="19"/>
      <c r="E304" s="19"/>
      <c r="F304" s="19"/>
      <c r="G304" s="19"/>
      <c r="H304" s="19"/>
    </row>
    <row r="305" spans="4:8" x14ac:dyDescent="0.3">
      <c r="D305" s="19"/>
      <c r="E305" s="19"/>
      <c r="F305" s="19"/>
      <c r="G305" s="19"/>
      <c r="H305" s="19"/>
    </row>
    <row r="306" spans="4:8" x14ac:dyDescent="0.3">
      <c r="D306" s="19"/>
      <c r="E306" s="19"/>
      <c r="F306" s="19"/>
      <c r="G306" s="19"/>
      <c r="H306" s="19"/>
    </row>
    <row r="307" spans="4:8" x14ac:dyDescent="0.3">
      <c r="D307" s="19"/>
      <c r="E307" s="19"/>
      <c r="F307" s="19"/>
      <c r="G307" s="19"/>
      <c r="H307" s="19"/>
    </row>
    <row r="308" spans="4:8" x14ac:dyDescent="0.3">
      <c r="D308" s="19"/>
      <c r="E308" s="19"/>
      <c r="F308" s="19"/>
      <c r="G308" s="19"/>
      <c r="H308" s="19"/>
    </row>
    <row r="309" spans="4:8" x14ac:dyDescent="0.3">
      <c r="D309" s="19"/>
      <c r="E309" s="19"/>
      <c r="F309" s="19"/>
      <c r="G309" s="19"/>
      <c r="H309" s="19"/>
    </row>
    <row r="310" spans="4:8" x14ac:dyDescent="0.3">
      <c r="D310" s="19"/>
      <c r="E310" s="19"/>
      <c r="F310" s="19"/>
      <c r="G310" s="19"/>
      <c r="H310" s="19"/>
    </row>
    <row r="311" spans="4:8" x14ac:dyDescent="0.3">
      <c r="D311" s="19"/>
      <c r="E311" s="19"/>
      <c r="F311" s="19"/>
      <c r="G311" s="19"/>
      <c r="H311" s="19"/>
    </row>
    <row r="312" spans="4:8" x14ac:dyDescent="0.3">
      <c r="D312" s="19"/>
      <c r="E312" s="19"/>
      <c r="F312" s="19"/>
      <c r="G312" s="19"/>
      <c r="H312" s="19"/>
    </row>
    <row r="313" spans="4:8" x14ac:dyDescent="0.3">
      <c r="D313" s="19"/>
      <c r="E313" s="19"/>
      <c r="F313" s="19"/>
      <c r="G313" s="19"/>
      <c r="H313" s="19"/>
    </row>
    <row r="314" spans="4:8" x14ac:dyDescent="0.3">
      <c r="D314" s="19"/>
      <c r="E314" s="19"/>
      <c r="F314" s="19"/>
      <c r="G314" s="19"/>
      <c r="H314" s="19"/>
    </row>
    <row r="315" spans="4:8" x14ac:dyDescent="0.3">
      <c r="D315" s="19"/>
      <c r="E315" s="19"/>
      <c r="F315" s="19"/>
      <c r="G315" s="19"/>
      <c r="H315" s="19"/>
    </row>
    <row r="316" spans="4:8" x14ac:dyDescent="0.3">
      <c r="D316" s="19"/>
      <c r="E316" s="19"/>
      <c r="F316" s="19"/>
      <c r="G316" s="19"/>
      <c r="H316" s="19"/>
    </row>
    <row r="317" spans="4:8" x14ac:dyDescent="0.3">
      <c r="D317" s="19"/>
      <c r="E317" s="19"/>
      <c r="F317" s="19"/>
      <c r="G317" s="19"/>
      <c r="H317" s="19"/>
    </row>
    <row r="318" spans="4:8" x14ac:dyDescent="0.3">
      <c r="D318" s="19"/>
      <c r="E318" s="19"/>
      <c r="F318" s="19"/>
      <c r="G318" s="19"/>
      <c r="H318" s="19"/>
    </row>
    <row r="319" spans="4:8" x14ac:dyDescent="0.3">
      <c r="D319" s="19"/>
      <c r="E319" s="19"/>
      <c r="F319" s="19"/>
      <c r="G319" s="19"/>
      <c r="H319" s="19"/>
    </row>
    <row r="320" spans="4:8" x14ac:dyDescent="0.3">
      <c r="D320" s="19"/>
      <c r="E320" s="19"/>
      <c r="F320" s="19"/>
      <c r="G320" s="19"/>
      <c r="H320" s="19"/>
    </row>
    <row r="321" spans="4:8" x14ac:dyDescent="0.3">
      <c r="D321" s="19"/>
      <c r="E321" s="19"/>
      <c r="F321" s="19"/>
      <c r="G321" s="19"/>
      <c r="H321" s="19"/>
    </row>
    <row r="322" spans="4:8" x14ac:dyDescent="0.3">
      <c r="D322" s="19"/>
      <c r="E322" s="19"/>
      <c r="F322" s="19"/>
      <c r="G322" s="19"/>
      <c r="H322" s="19"/>
    </row>
    <row r="323" spans="4:8" x14ac:dyDescent="0.3">
      <c r="D323" s="19"/>
      <c r="E323" s="19"/>
      <c r="F323" s="19"/>
      <c r="G323" s="19"/>
      <c r="H323" s="19"/>
    </row>
    <row r="324" spans="4:8" x14ac:dyDescent="0.3">
      <c r="D324" s="19"/>
      <c r="E324" s="19"/>
      <c r="F324" s="19"/>
      <c r="G324" s="19"/>
      <c r="H324" s="19"/>
    </row>
    <row r="325" spans="4:8" x14ac:dyDescent="0.3">
      <c r="D325" s="19"/>
      <c r="E325" s="19"/>
      <c r="F325" s="19"/>
      <c r="G325" s="19"/>
      <c r="H325" s="19"/>
    </row>
    <row r="326" spans="4:8" x14ac:dyDescent="0.3">
      <c r="D326" s="19"/>
      <c r="E326" s="19"/>
      <c r="F326" s="19"/>
      <c r="G326" s="19"/>
      <c r="H326" s="19"/>
    </row>
    <row r="327" spans="4:8" x14ac:dyDescent="0.3">
      <c r="D327" s="19"/>
      <c r="E327" s="19"/>
      <c r="F327" s="19"/>
      <c r="G327" s="19"/>
      <c r="H327" s="19"/>
    </row>
    <row r="328" spans="4:8" x14ac:dyDescent="0.3">
      <c r="D328" s="19"/>
      <c r="E328" s="19"/>
      <c r="F328" s="19"/>
      <c r="G328" s="19"/>
      <c r="H328" s="19"/>
    </row>
    <row r="329" spans="4:8" x14ac:dyDescent="0.3">
      <c r="D329" s="19"/>
      <c r="E329" s="19"/>
      <c r="F329" s="19"/>
      <c r="G329" s="19"/>
      <c r="H329" s="19"/>
    </row>
    <row r="330" spans="4:8" x14ac:dyDescent="0.3">
      <c r="D330" s="19"/>
      <c r="E330" s="19"/>
      <c r="F330" s="19"/>
      <c r="G330" s="19"/>
      <c r="H330" s="19"/>
    </row>
    <row r="331" spans="4:8" x14ac:dyDescent="0.3">
      <c r="D331" s="19"/>
      <c r="E331" s="19"/>
      <c r="F331" s="19"/>
      <c r="G331" s="19"/>
      <c r="H331" s="19"/>
    </row>
    <row r="332" spans="4:8" x14ac:dyDescent="0.3">
      <c r="D332" s="19"/>
      <c r="E332" s="19"/>
      <c r="F332" s="19"/>
      <c r="G332" s="19"/>
      <c r="H332" s="19"/>
    </row>
    <row r="333" spans="4:8" x14ac:dyDescent="0.3">
      <c r="D333" s="19"/>
      <c r="E333" s="19"/>
      <c r="F333" s="19"/>
      <c r="G333" s="19"/>
      <c r="H333" s="19"/>
    </row>
    <row r="334" spans="4:8" x14ac:dyDescent="0.3">
      <c r="D334" s="19"/>
      <c r="E334" s="19"/>
      <c r="F334" s="19"/>
      <c r="G334" s="19"/>
      <c r="H334" s="19"/>
    </row>
    <row r="335" spans="4:8" x14ac:dyDescent="0.3">
      <c r="D335" s="19"/>
      <c r="E335" s="19"/>
      <c r="F335" s="19"/>
      <c r="G335" s="19"/>
      <c r="H335" s="19"/>
    </row>
    <row r="336" spans="4:8" x14ac:dyDescent="0.3">
      <c r="D336" s="19"/>
      <c r="E336" s="19"/>
      <c r="F336" s="19"/>
      <c r="G336" s="19"/>
      <c r="H336" s="19"/>
    </row>
    <row r="337" spans="4:8" x14ac:dyDescent="0.3">
      <c r="D337" s="19"/>
      <c r="E337" s="19"/>
      <c r="F337" s="19"/>
      <c r="G337" s="19"/>
      <c r="H337" s="19"/>
    </row>
    <row r="338" spans="4:8" x14ac:dyDescent="0.3">
      <c r="D338" s="19"/>
      <c r="E338" s="19"/>
      <c r="F338" s="19"/>
      <c r="G338" s="19"/>
      <c r="H338" s="19"/>
    </row>
    <row r="339" spans="4:8" x14ac:dyDescent="0.3">
      <c r="D339" s="19"/>
      <c r="E339" s="19"/>
      <c r="F339" s="19"/>
      <c r="G339" s="19"/>
      <c r="H339" s="19"/>
    </row>
    <row r="340" spans="4:8" x14ac:dyDescent="0.3">
      <c r="D340" s="19"/>
      <c r="E340" s="19"/>
      <c r="F340" s="19"/>
      <c r="G340" s="19"/>
      <c r="H340" s="19"/>
    </row>
    <row r="341" spans="4:8" x14ac:dyDescent="0.3">
      <c r="D341" s="19"/>
      <c r="E341" s="19"/>
      <c r="F341" s="19"/>
      <c r="G341" s="19"/>
      <c r="H341" s="19"/>
    </row>
    <row r="342" spans="4:8" x14ac:dyDescent="0.3">
      <c r="D342" s="19"/>
      <c r="E342" s="19"/>
      <c r="F342" s="19"/>
      <c r="G342" s="19"/>
      <c r="H342" s="19"/>
    </row>
    <row r="343" spans="4:8" x14ac:dyDescent="0.3">
      <c r="D343" s="19"/>
      <c r="E343" s="19"/>
      <c r="F343" s="19"/>
      <c r="G343" s="19"/>
      <c r="H343" s="19"/>
    </row>
    <row r="344" spans="4:8" x14ac:dyDescent="0.3">
      <c r="D344" s="19"/>
      <c r="E344" s="19"/>
      <c r="F344" s="19"/>
      <c r="G344" s="19"/>
      <c r="H344" s="19"/>
    </row>
    <row r="345" spans="4:8" x14ac:dyDescent="0.3">
      <c r="D345" s="19"/>
      <c r="E345" s="19"/>
      <c r="F345" s="19"/>
      <c r="G345" s="19"/>
      <c r="H345" s="19"/>
    </row>
    <row r="346" spans="4:8" x14ac:dyDescent="0.3">
      <c r="D346" s="19"/>
      <c r="E346" s="19"/>
      <c r="F346" s="19"/>
      <c r="G346" s="19"/>
      <c r="H346" s="19"/>
    </row>
    <row r="347" spans="4:8" x14ac:dyDescent="0.3">
      <c r="D347" s="19"/>
      <c r="E347" s="19"/>
      <c r="F347" s="19"/>
      <c r="G347" s="19"/>
      <c r="H347" s="19"/>
    </row>
    <row r="348" spans="4:8" x14ac:dyDescent="0.3">
      <c r="D348" s="19"/>
      <c r="E348" s="19"/>
      <c r="F348" s="19"/>
      <c r="G348" s="19"/>
      <c r="H348" s="19"/>
    </row>
    <row r="349" spans="4:8" x14ac:dyDescent="0.3">
      <c r="D349" s="19"/>
      <c r="E349" s="19"/>
      <c r="F349" s="19"/>
      <c r="G349" s="19"/>
      <c r="H349" s="19"/>
    </row>
    <row r="350" spans="4:8" x14ac:dyDescent="0.3">
      <c r="D350" s="19"/>
      <c r="E350" s="19"/>
      <c r="F350" s="19"/>
      <c r="G350" s="19"/>
      <c r="H350" s="19"/>
    </row>
    <row r="351" spans="4:8" x14ac:dyDescent="0.3">
      <c r="D351" s="19"/>
      <c r="E351" s="19"/>
      <c r="F351" s="19"/>
      <c r="G351" s="19"/>
      <c r="H351" s="19"/>
    </row>
    <row r="352" spans="4:8" x14ac:dyDescent="0.3">
      <c r="D352" s="19"/>
      <c r="E352" s="19"/>
      <c r="F352" s="19"/>
      <c r="G352" s="19"/>
      <c r="H352" s="19"/>
    </row>
    <row r="353" spans="4:8" x14ac:dyDescent="0.3">
      <c r="D353" s="19"/>
      <c r="E353" s="19"/>
      <c r="F353" s="19"/>
      <c r="G353" s="19"/>
      <c r="H353" s="19"/>
    </row>
    <row r="354" spans="4:8" x14ac:dyDescent="0.3">
      <c r="D354" s="19"/>
      <c r="E354" s="19"/>
      <c r="F354" s="19"/>
      <c r="G354" s="19"/>
      <c r="H354" s="19"/>
    </row>
    <row r="355" spans="4:8" x14ac:dyDescent="0.3">
      <c r="D355" s="19"/>
      <c r="E355" s="19"/>
      <c r="F355" s="19"/>
      <c r="G355" s="19"/>
      <c r="H355" s="19"/>
    </row>
    <row r="356" spans="4:8" x14ac:dyDescent="0.3">
      <c r="D356" s="19"/>
      <c r="E356" s="19"/>
      <c r="F356" s="19"/>
      <c r="G356" s="19"/>
      <c r="H356" s="19"/>
    </row>
    <row r="357" spans="4:8" x14ac:dyDescent="0.3">
      <c r="D357" s="19"/>
      <c r="E357" s="19"/>
      <c r="F357" s="19"/>
      <c r="G357" s="19"/>
      <c r="H357" s="19"/>
    </row>
    <row r="358" spans="4:8" x14ac:dyDescent="0.3">
      <c r="D358" s="19"/>
      <c r="E358" s="19"/>
      <c r="F358" s="19"/>
      <c r="G358" s="19"/>
      <c r="H358" s="19"/>
    </row>
    <row r="359" spans="4:8" x14ac:dyDescent="0.3">
      <c r="D359" s="19"/>
      <c r="E359" s="19"/>
      <c r="F359" s="19"/>
      <c r="G359" s="19"/>
      <c r="H359" s="19"/>
    </row>
    <row r="360" spans="4:8" x14ac:dyDescent="0.3">
      <c r="D360" s="19"/>
      <c r="E360" s="19"/>
      <c r="F360" s="19"/>
      <c r="G360" s="19"/>
      <c r="H360" s="19"/>
    </row>
    <row r="361" spans="4:8" x14ac:dyDescent="0.3">
      <c r="D361" s="19"/>
      <c r="E361" s="19"/>
      <c r="F361" s="19"/>
      <c r="G361" s="19"/>
      <c r="H361" s="19"/>
    </row>
    <row r="362" spans="4:8" x14ac:dyDescent="0.3">
      <c r="D362" s="19"/>
      <c r="E362" s="19"/>
      <c r="F362" s="19"/>
      <c r="G362" s="19"/>
      <c r="H362" s="19"/>
    </row>
    <row r="363" spans="4:8" x14ac:dyDescent="0.3">
      <c r="D363" s="19"/>
      <c r="E363" s="19"/>
      <c r="F363" s="19"/>
      <c r="G363" s="19"/>
      <c r="H363" s="19"/>
    </row>
    <row r="364" spans="4:8" x14ac:dyDescent="0.3">
      <c r="D364" s="19"/>
      <c r="E364" s="19"/>
      <c r="F364" s="19"/>
      <c r="G364" s="19"/>
      <c r="H364" s="19"/>
    </row>
    <row r="365" spans="4:8" x14ac:dyDescent="0.3">
      <c r="D365" s="19"/>
      <c r="E365" s="19"/>
      <c r="F365" s="19"/>
      <c r="G365" s="19"/>
      <c r="H365" s="19"/>
    </row>
    <row r="366" spans="4:8" x14ac:dyDescent="0.3">
      <c r="D366" s="19"/>
      <c r="E366" s="19"/>
      <c r="F366" s="19"/>
      <c r="G366" s="19"/>
      <c r="H366" s="19"/>
    </row>
    <row r="367" spans="4:8" x14ac:dyDescent="0.3">
      <c r="D367" s="19"/>
      <c r="E367" s="19"/>
      <c r="F367" s="19"/>
      <c r="G367" s="19"/>
      <c r="H367" s="19"/>
    </row>
    <row r="368" spans="4:8" x14ac:dyDescent="0.3">
      <c r="D368" s="19"/>
      <c r="E368" s="19"/>
      <c r="F368" s="19"/>
      <c r="G368" s="19"/>
      <c r="H368" s="19"/>
    </row>
    <row r="369" spans="4:8" x14ac:dyDescent="0.3">
      <c r="D369" s="19"/>
      <c r="E369" s="19"/>
      <c r="F369" s="19"/>
      <c r="G369" s="19"/>
      <c r="H369" s="19"/>
    </row>
    <row r="370" spans="4:8" x14ac:dyDescent="0.3">
      <c r="D370" s="19"/>
      <c r="E370" s="19"/>
      <c r="F370" s="19"/>
      <c r="G370" s="19"/>
      <c r="H370" s="19"/>
    </row>
    <row r="371" spans="4:8" x14ac:dyDescent="0.3">
      <c r="D371" s="19"/>
      <c r="E371" s="19"/>
      <c r="F371" s="19"/>
      <c r="G371" s="19"/>
      <c r="H371" s="19"/>
    </row>
    <row r="372" spans="4:8" x14ac:dyDescent="0.3">
      <c r="D372" s="19"/>
      <c r="E372" s="19"/>
      <c r="F372" s="19"/>
      <c r="G372" s="19"/>
      <c r="H372" s="19"/>
    </row>
    <row r="373" spans="4:8" x14ac:dyDescent="0.3">
      <c r="D373" s="19"/>
      <c r="E373" s="19"/>
      <c r="F373" s="19"/>
      <c r="G373" s="19"/>
      <c r="H373" s="19"/>
    </row>
    <row r="374" spans="4:8" x14ac:dyDescent="0.3">
      <c r="D374" s="19"/>
      <c r="E374" s="19"/>
      <c r="F374" s="19"/>
      <c r="G374" s="19"/>
      <c r="H374" s="19"/>
    </row>
    <row r="375" spans="4:8" x14ac:dyDescent="0.3">
      <c r="D375" s="19"/>
      <c r="E375" s="19"/>
      <c r="F375" s="19"/>
      <c r="G375" s="19"/>
      <c r="H375" s="19"/>
    </row>
    <row r="376" spans="4:8" x14ac:dyDescent="0.3">
      <c r="D376" s="19"/>
      <c r="E376" s="19"/>
      <c r="F376" s="19"/>
      <c r="G376" s="19"/>
      <c r="H376" s="19"/>
    </row>
    <row r="377" spans="4:8" x14ac:dyDescent="0.3">
      <c r="D377" s="19"/>
      <c r="E377" s="19"/>
      <c r="F377" s="19"/>
      <c r="G377" s="19"/>
      <c r="H377" s="19"/>
    </row>
    <row r="378" spans="4:8" x14ac:dyDescent="0.3">
      <c r="D378" s="19"/>
      <c r="E378" s="19"/>
      <c r="F378" s="19"/>
      <c r="G378" s="19"/>
      <c r="H378" s="19"/>
    </row>
    <row r="379" spans="4:8" x14ac:dyDescent="0.3">
      <c r="D379" s="19"/>
      <c r="E379" s="19"/>
      <c r="F379" s="19"/>
      <c r="G379" s="19"/>
      <c r="H379" s="19"/>
    </row>
    <row r="380" spans="4:8" x14ac:dyDescent="0.3">
      <c r="D380" s="19"/>
      <c r="E380" s="19"/>
      <c r="F380" s="19"/>
      <c r="G380" s="19"/>
      <c r="H380" s="19"/>
    </row>
    <row r="381" spans="4:8" x14ac:dyDescent="0.3">
      <c r="D381" s="19"/>
      <c r="E381" s="19"/>
      <c r="F381" s="19"/>
      <c r="G381" s="19"/>
      <c r="H381" s="19"/>
    </row>
    <row r="382" spans="4:8" x14ac:dyDescent="0.3">
      <c r="D382" s="19"/>
      <c r="E382" s="19"/>
      <c r="F382" s="19"/>
      <c r="G382" s="19"/>
      <c r="H382" s="19"/>
    </row>
    <row r="383" spans="4:8" x14ac:dyDescent="0.3">
      <c r="D383" s="19"/>
      <c r="E383" s="19"/>
      <c r="F383" s="19"/>
      <c r="G383" s="19"/>
      <c r="H383" s="19"/>
    </row>
    <row r="384" spans="4:8" x14ac:dyDescent="0.3">
      <c r="D384" s="19"/>
      <c r="E384" s="19"/>
      <c r="F384" s="19"/>
      <c r="G384" s="19"/>
      <c r="H384" s="19"/>
    </row>
    <row r="385" spans="4:8" x14ac:dyDescent="0.3">
      <c r="D385" s="19"/>
      <c r="E385" s="19"/>
      <c r="F385" s="19"/>
      <c r="G385" s="19"/>
      <c r="H385" s="19"/>
    </row>
    <row r="386" spans="4:8" x14ac:dyDescent="0.3">
      <c r="D386" s="19"/>
      <c r="E386" s="19"/>
      <c r="F386" s="19"/>
      <c r="G386" s="19"/>
      <c r="H386" s="19"/>
    </row>
    <row r="387" spans="4:8" x14ac:dyDescent="0.3">
      <c r="D387" s="19"/>
      <c r="E387" s="19"/>
      <c r="F387" s="19"/>
      <c r="G387" s="19"/>
      <c r="H387" s="19"/>
    </row>
    <row r="388" spans="4:8" x14ac:dyDescent="0.3">
      <c r="D388" s="19"/>
      <c r="E388" s="19"/>
      <c r="F388" s="19"/>
      <c r="G388" s="19"/>
      <c r="H388" s="19"/>
    </row>
    <row r="389" spans="4:8" x14ac:dyDescent="0.3">
      <c r="D389" s="19"/>
      <c r="E389" s="19"/>
      <c r="F389" s="19"/>
      <c r="G389" s="19"/>
      <c r="H389" s="19"/>
    </row>
    <row r="390" spans="4:8" x14ac:dyDescent="0.3">
      <c r="D390" s="19"/>
      <c r="E390" s="19"/>
      <c r="F390" s="19"/>
      <c r="G390" s="19"/>
      <c r="H390" s="19"/>
    </row>
    <row r="391" spans="4:8" x14ac:dyDescent="0.3">
      <c r="D391" s="19"/>
      <c r="E391" s="19"/>
      <c r="F391" s="19"/>
      <c r="G391" s="19"/>
      <c r="H391" s="19"/>
    </row>
    <row r="392" spans="4:8" x14ac:dyDescent="0.3">
      <c r="D392" s="19"/>
      <c r="E392" s="19"/>
      <c r="F392" s="19"/>
      <c r="G392" s="19"/>
      <c r="H392" s="19"/>
    </row>
    <row r="393" spans="4:8" x14ac:dyDescent="0.3">
      <c r="D393" s="19"/>
      <c r="E393" s="19"/>
      <c r="F393" s="19"/>
      <c r="G393" s="19"/>
      <c r="H393" s="19"/>
    </row>
    <row r="394" spans="4:8" x14ac:dyDescent="0.3">
      <c r="D394" s="19"/>
      <c r="E394" s="19"/>
      <c r="F394" s="19"/>
      <c r="G394" s="19"/>
      <c r="H394" s="19"/>
    </row>
    <row r="395" spans="4:8" x14ac:dyDescent="0.3">
      <c r="D395" s="19"/>
      <c r="E395" s="19"/>
      <c r="F395" s="19"/>
      <c r="G395" s="19"/>
      <c r="H395" s="19"/>
    </row>
    <row r="396" spans="4:8" x14ac:dyDescent="0.3">
      <c r="D396" s="19"/>
      <c r="E396" s="19"/>
      <c r="F396" s="19"/>
      <c r="G396" s="19"/>
      <c r="H396" s="19"/>
    </row>
    <row r="397" spans="4:8" x14ac:dyDescent="0.3">
      <c r="D397" s="19"/>
      <c r="E397" s="19"/>
      <c r="F397" s="19"/>
      <c r="G397" s="19"/>
      <c r="H397" s="19"/>
    </row>
    <row r="398" spans="4:8" x14ac:dyDescent="0.3">
      <c r="D398" s="19"/>
      <c r="E398" s="19"/>
      <c r="F398" s="19"/>
      <c r="G398" s="19"/>
      <c r="H398" s="19"/>
    </row>
    <row r="399" spans="4:8" x14ac:dyDescent="0.3">
      <c r="D399" s="19"/>
      <c r="E399" s="19"/>
      <c r="F399" s="19"/>
      <c r="G399" s="19"/>
      <c r="H399" s="19"/>
    </row>
    <row r="400" spans="4:8" x14ac:dyDescent="0.3">
      <c r="D400" s="19"/>
      <c r="E400" s="19"/>
      <c r="F400" s="19"/>
      <c r="G400" s="19"/>
      <c r="H400" s="19"/>
    </row>
    <row r="401" spans="4:8" x14ac:dyDescent="0.3">
      <c r="D401" s="19"/>
      <c r="E401" s="19"/>
      <c r="F401" s="19"/>
      <c r="G401" s="19"/>
      <c r="H401" s="19"/>
    </row>
    <row r="402" spans="4:8" x14ac:dyDescent="0.3">
      <c r="D402" s="19"/>
      <c r="E402" s="19"/>
      <c r="F402" s="19"/>
      <c r="G402" s="19"/>
      <c r="H402" s="19"/>
    </row>
    <row r="403" spans="4:8" x14ac:dyDescent="0.3">
      <c r="D403" s="19"/>
      <c r="E403" s="19"/>
      <c r="F403" s="19"/>
      <c r="G403" s="19"/>
      <c r="H403" s="19"/>
    </row>
    <row r="404" spans="4:8" x14ac:dyDescent="0.3">
      <c r="D404" s="19"/>
      <c r="E404" s="19"/>
      <c r="F404" s="19"/>
      <c r="G404" s="19"/>
      <c r="H404" s="19"/>
    </row>
    <row r="405" spans="4:8" x14ac:dyDescent="0.3">
      <c r="D405" s="19"/>
      <c r="E405" s="19"/>
      <c r="F405" s="19"/>
      <c r="G405" s="19"/>
      <c r="H405" s="19"/>
    </row>
    <row r="406" spans="4:8" x14ac:dyDescent="0.3">
      <c r="D406" s="19"/>
      <c r="E406" s="19"/>
      <c r="F406" s="19"/>
      <c r="G406" s="19"/>
      <c r="H406" s="19"/>
    </row>
    <row r="407" spans="4:8" x14ac:dyDescent="0.3">
      <c r="D407" s="19"/>
      <c r="E407" s="19"/>
      <c r="F407" s="19"/>
      <c r="G407" s="19"/>
      <c r="H407" s="19"/>
    </row>
    <row r="408" spans="4:8" x14ac:dyDescent="0.3">
      <c r="D408" s="19"/>
      <c r="E408" s="19"/>
      <c r="F408" s="19"/>
      <c r="G408" s="19"/>
      <c r="H408" s="19"/>
    </row>
    <row r="409" spans="4:8" x14ac:dyDescent="0.3">
      <c r="D409" s="19"/>
      <c r="E409" s="19"/>
      <c r="F409" s="19"/>
      <c r="G409" s="19"/>
      <c r="H409" s="19"/>
    </row>
    <row r="410" spans="4:8" x14ac:dyDescent="0.3">
      <c r="D410" s="19"/>
      <c r="E410" s="19"/>
      <c r="F410" s="19"/>
      <c r="G410" s="19"/>
      <c r="H410" s="19"/>
    </row>
    <row r="411" spans="4:8" x14ac:dyDescent="0.3">
      <c r="D411" s="19"/>
      <c r="E411" s="19"/>
      <c r="F411" s="19"/>
      <c r="G411" s="19"/>
      <c r="H411" s="19"/>
    </row>
    <row r="412" spans="4:8" x14ac:dyDescent="0.3">
      <c r="D412" s="19"/>
      <c r="E412" s="19"/>
      <c r="F412" s="19"/>
      <c r="G412" s="19"/>
      <c r="H412" s="19"/>
    </row>
    <row r="413" spans="4:8" x14ac:dyDescent="0.3">
      <c r="D413" s="19"/>
      <c r="E413" s="19"/>
      <c r="F413" s="19"/>
      <c r="G413" s="19"/>
      <c r="H413" s="19"/>
    </row>
    <row r="414" spans="4:8" x14ac:dyDescent="0.3">
      <c r="D414" s="19"/>
      <c r="E414" s="19"/>
      <c r="F414" s="19"/>
      <c r="G414" s="19"/>
      <c r="H414" s="19"/>
    </row>
    <row r="415" spans="4:8" x14ac:dyDescent="0.3">
      <c r="D415" s="19"/>
      <c r="E415" s="19"/>
      <c r="F415" s="19"/>
      <c r="G415" s="19"/>
      <c r="H415" s="19"/>
    </row>
    <row r="416" spans="4:8" x14ac:dyDescent="0.3">
      <c r="D416" s="19"/>
      <c r="E416" s="19"/>
      <c r="F416" s="19"/>
      <c r="G416" s="19"/>
      <c r="H416" s="19"/>
    </row>
    <row r="417" spans="4:8" x14ac:dyDescent="0.3">
      <c r="D417" s="19"/>
      <c r="E417" s="19"/>
      <c r="F417" s="19"/>
      <c r="G417" s="19"/>
      <c r="H417" s="19"/>
    </row>
    <row r="418" spans="4:8" x14ac:dyDescent="0.3">
      <c r="D418" s="19"/>
      <c r="E418" s="19"/>
      <c r="F418" s="19"/>
      <c r="G418" s="19"/>
      <c r="H418" s="19"/>
    </row>
    <row r="419" spans="4:8" x14ac:dyDescent="0.3">
      <c r="D419" s="19"/>
      <c r="E419" s="19"/>
      <c r="F419" s="19"/>
      <c r="G419" s="19"/>
      <c r="H419" s="19"/>
    </row>
    <row r="420" spans="4:8" x14ac:dyDescent="0.3">
      <c r="D420" s="19"/>
      <c r="E420" s="19"/>
      <c r="F420" s="19"/>
      <c r="G420" s="19"/>
      <c r="H420" s="19"/>
    </row>
    <row r="421" spans="4:8" x14ac:dyDescent="0.3">
      <c r="D421" s="19"/>
      <c r="E421" s="19"/>
      <c r="F421" s="19"/>
      <c r="G421" s="19"/>
      <c r="H421" s="19"/>
    </row>
    <row r="422" spans="4:8" x14ac:dyDescent="0.3">
      <c r="D422" s="19"/>
      <c r="E422" s="19"/>
      <c r="F422" s="19"/>
      <c r="G422" s="19"/>
      <c r="H422" s="19"/>
    </row>
    <row r="423" spans="4:8" x14ac:dyDescent="0.3">
      <c r="D423" s="19"/>
      <c r="E423" s="19"/>
      <c r="F423" s="19"/>
      <c r="G423" s="19"/>
      <c r="H423" s="19"/>
    </row>
    <row r="424" spans="4:8" x14ac:dyDescent="0.3">
      <c r="D424" s="19"/>
      <c r="E424" s="19"/>
      <c r="F424" s="19"/>
      <c r="G424" s="19"/>
      <c r="H424" s="19"/>
    </row>
    <row r="425" spans="4:8" x14ac:dyDescent="0.3">
      <c r="D425" s="19"/>
      <c r="E425" s="19"/>
      <c r="F425" s="19"/>
      <c r="G425" s="19"/>
      <c r="H425" s="19"/>
    </row>
    <row r="426" spans="4:8" x14ac:dyDescent="0.3">
      <c r="D426" s="19"/>
      <c r="E426" s="19"/>
      <c r="F426" s="19"/>
      <c r="G426" s="19"/>
      <c r="H426" s="19"/>
    </row>
    <row r="427" spans="4:8" x14ac:dyDescent="0.3">
      <c r="D427" s="19"/>
      <c r="E427" s="19"/>
      <c r="F427" s="19"/>
      <c r="G427" s="19"/>
      <c r="H427" s="19"/>
    </row>
    <row r="428" spans="4:8" x14ac:dyDescent="0.3">
      <c r="D428" s="19"/>
      <c r="E428" s="19"/>
      <c r="F428" s="19"/>
      <c r="G428" s="19"/>
      <c r="H428" s="19"/>
    </row>
    <row r="429" spans="4:8" x14ac:dyDescent="0.3">
      <c r="D429" s="19"/>
      <c r="E429" s="19"/>
      <c r="F429" s="19"/>
      <c r="G429" s="19"/>
      <c r="H429" s="19"/>
    </row>
    <row r="430" spans="4:8" x14ac:dyDescent="0.3">
      <c r="D430" s="19"/>
      <c r="E430" s="19"/>
      <c r="F430" s="19"/>
      <c r="G430" s="19"/>
      <c r="H430" s="19"/>
    </row>
    <row r="431" spans="4:8" x14ac:dyDescent="0.3">
      <c r="D431" s="19"/>
      <c r="E431" s="19"/>
      <c r="F431" s="19"/>
      <c r="G431" s="19"/>
      <c r="H431" s="19"/>
    </row>
    <row r="432" spans="4:8" x14ac:dyDescent="0.3">
      <c r="D432" s="19"/>
      <c r="E432" s="19"/>
      <c r="F432" s="19"/>
      <c r="G432" s="19"/>
      <c r="H432" s="19"/>
    </row>
    <row r="433" spans="4:8" x14ac:dyDescent="0.3">
      <c r="D433" s="19"/>
      <c r="E433" s="19"/>
      <c r="F433" s="19"/>
      <c r="G433" s="19"/>
      <c r="H433" s="19"/>
    </row>
    <row r="434" spans="4:8" x14ac:dyDescent="0.3">
      <c r="D434" s="19"/>
      <c r="E434" s="19"/>
      <c r="F434" s="19"/>
      <c r="G434" s="19"/>
      <c r="H434" s="19"/>
    </row>
    <row r="435" spans="4:8" x14ac:dyDescent="0.3">
      <c r="D435" s="19"/>
      <c r="E435" s="19"/>
      <c r="F435" s="19"/>
      <c r="G435" s="19"/>
      <c r="H435" s="19"/>
    </row>
    <row r="436" spans="4:8" x14ac:dyDescent="0.3">
      <c r="D436" s="19"/>
      <c r="E436" s="19"/>
      <c r="F436" s="19"/>
      <c r="G436" s="19"/>
      <c r="H436" s="19"/>
    </row>
    <row r="437" spans="4:8" x14ac:dyDescent="0.3">
      <c r="D437" s="19"/>
      <c r="E437" s="19"/>
      <c r="F437" s="19"/>
      <c r="G437" s="19"/>
      <c r="H437" s="19"/>
    </row>
    <row r="438" spans="4:8" x14ac:dyDescent="0.3">
      <c r="D438" s="19"/>
      <c r="E438" s="19"/>
      <c r="F438" s="19"/>
      <c r="G438" s="19"/>
      <c r="H438" s="19"/>
    </row>
    <row r="439" spans="4:8" x14ac:dyDescent="0.3">
      <c r="D439" s="19"/>
      <c r="E439" s="19"/>
      <c r="F439" s="19"/>
      <c r="G439" s="19"/>
      <c r="H439" s="19"/>
    </row>
    <row r="440" spans="4:8" x14ac:dyDescent="0.3">
      <c r="D440" s="19"/>
      <c r="E440" s="19"/>
      <c r="F440" s="19"/>
      <c r="G440" s="19"/>
      <c r="H440" s="19"/>
    </row>
    <row r="441" spans="4:8" x14ac:dyDescent="0.3">
      <c r="D441" s="19"/>
      <c r="E441" s="19"/>
      <c r="F441" s="19"/>
      <c r="G441" s="19"/>
      <c r="H441" s="19"/>
    </row>
    <row r="442" spans="4:8" x14ac:dyDescent="0.3">
      <c r="D442" s="19"/>
      <c r="E442" s="19"/>
      <c r="F442" s="19"/>
      <c r="G442" s="19"/>
      <c r="H442" s="19"/>
    </row>
    <row r="443" spans="4:8" x14ac:dyDescent="0.3">
      <c r="D443" s="19"/>
      <c r="E443" s="19"/>
      <c r="F443" s="19"/>
      <c r="G443" s="19"/>
      <c r="H443" s="19"/>
    </row>
    <row r="444" spans="4:8" x14ac:dyDescent="0.3">
      <c r="D444" s="19"/>
      <c r="E444" s="19"/>
      <c r="F444" s="19"/>
      <c r="G444" s="19"/>
      <c r="H444" s="19"/>
    </row>
    <row r="445" spans="4:8" x14ac:dyDescent="0.3">
      <c r="D445" s="19"/>
      <c r="E445" s="19"/>
      <c r="F445" s="19"/>
      <c r="G445" s="19"/>
      <c r="H445" s="19"/>
    </row>
    <row r="446" spans="4:8" x14ac:dyDescent="0.3">
      <c r="D446" s="19"/>
      <c r="E446" s="19"/>
      <c r="F446" s="19"/>
      <c r="G446" s="19"/>
      <c r="H446" s="19"/>
    </row>
    <row r="447" spans="4:8" x14ac:dyDescent="0.3">
      <c r="D447" s="19"/>
      <c r="E447" s="19"/>
      <c r="F447" s="19"/>
      <c r="G447" s="19"/>
      <c r="H447" s="19"/>
    </row>
    <row r="448" spans="4:8" x14ac:dyDescent="0.3">
      <c r="D448" s="19"/>
      <c r="E448" s="19"/>
      <c r="F448" s="19"/>
      <c r="G448" s="19"/>
      <c r="H448" s="19"/>
    </row>
    <row r="449" spans="4:8" x14ac:dyDescent="0.3">
      <c r="D449" s="19"/>
      <c r="E449" s="19"/>
      <c r="F449" s="19"/>
      <c r="G449" s="19"/>
      <c r="H449" s="19"/>
    </row>
    <row r="450" spans="4:8" x14ac:dyDescent="0.3">
      <c r="D450" s="19"/>
      <c r="E450" s="19"/>
      <c r="F450" s="19"/>
      <c r="G450" s="19"/>
      <c r="H450" s="19"/>
    </row>
    <row r="451" spans="4:8" x14ac:dyDescent="0.3">
      <c r="D451" s="19"/>
      <c r="E451" s="19"/>
      <c r="F451" s="19"/>
      <c r="G451" s="19"/>
      <c r="H451" s="19"/>
    </row>
    <row r="452" spans="4:8" x14ac:dyDescent="0.3">
      <c r="D452" s="19"/>
      <c r="E452" s="19"/>
      <c r="F452" s="19"/>
      <c r="G452" s="19"/>
      <c r="H452" s="19"/>
    </row>
    <row r="453" spans="4:8" x14ac:dyDescent="0.3">
      <c r="D453" s="19"/>
      <c r="E453" s="19"/>
      <c r="F453" s="19"/>
      <c r="G453" s="19"/>
      <c r="H453" s="19"/>
    </row>
    <row r="454" spans="4:8" x14ac:dyDescent="0.3">
      <c r="D454" s="19"/>
      <c r="E454" s="19"/>
      <c r="F454" s="19"/>
      <c r="G454" s="19"/>
      <c r="H454" s="19"/>
    </row>
    <row r="455" spans="4:8" x14ac:dyDescent="0.3">
      <c r="D455" s="19"/>
      <c r="E455" s="19"/>
      <c r="F455" s="19"/>
      <c r="G455" s="19"/>
      <c r="H455" s="19"/>
    </row>
    <row r="456" spans="4:8" x14ac:dyDescent="0.3">
      <c r="D456" s="19"/>
      <c r="E456" s="19"/>
      <c r="F456" s="19"/>
      <c r="G456" s="19"/>
      <c r="H456" s="19"/>
    </row>
    <row r="457" spans="4:8" x14ac:dyDescent="0.3">
      <c r="D457" s="19"/>
      <c r="E457" s="19"/>
      <c r="F457" s="19"/>
      <c r="G457" s="19"/>
      <c r="H457" s="19"/>
    </row>
    <row r="458" spans="4:8" x14ac:dyDescent="0.3">
      <c r="D458" s="19"/>
      <c r="E458" s="19"/>
      <c r="F458" s="19"/>
      <c r="G458" s="19"/>
      <c r="H458" s="19"/>
    </row>
    <row r="459" spans="4:8" x14ac:dyDescent="0.3">
      <c r="D459" s="19"/>
      <c r="E459" s="19"/>
      <c r="F459" s="19"/>
      <c r="G459" s="19"/>
      <c r="H459" s="19"/>
    </row>
    <row r="460" spans="4:8" x14ac:dyDescent="0.3">
      <c r="D460" s="19"/>
      <c r="E460" s="19"/>
      <c r="F460" s="19"/>
      <c r="G460" s="19"/>
      <c r="H460" s="19"/>
    </row>
    <row r="461" spans="4:8" x14ac:dyDescent="0.3">
      <c r="D461" s="19"/>
      <c r="E461" s="19"/>
      <c r="F461" s="19"/>
      <c r="G461" s="19"/>
      <c r="H461" s="19"/>
    </row>
    <row r="462" spans="4:8" x14ac:dyDescent="0.3">
      <c r="D462" s="19"/>
      <c r="E462" s="19"/>
      <c r="F462" s="19"/>
      <c r="G462" s="19"/>
      <c r="H462" s="19"/>
    </row>
    <row r="463" spans="4:8" x14ac:dyDescent="0.3">
      <c r="D463" s="19"/>
      <c r="E463" s="19"/>
      <c r="F463" s="19"/>
      <c r="G463" s="19"/>
      <c r="H463" s="19"/>
    </row>
    <row r="464" spans="4:8" x14ac:dyDescent="0.3">
      <c r="D464" s="19"/>
      <c r="E464" s="19"/>
      <c r="F464" s="19"/>
      <c r="G464" s="19"/>
      <c r="H464" s="19"/>
    </row>
    <row r="465" spans="4:8" x14ac:dyDescent="0.3">
      <c r="D465" s="19"/>
      <c r="E465" s="19"/>
      <c r="F465" s="19"/>
      <c r="G465" s="19"/>
      <c r="H465" s="19"/>
    </row>
    <row r="466" spans="4:8" x14ac:dyDescent="0.3">
      <c r="D466" s="19"/>
      <c r="E466" s="19"/>
      <c r="F466" s="19"/>
      <c r="G466" s="19"/>
      <c r="H466" s="19"/>
    </row>
    <row r="467" spans="4:8" x14ac:dyDescent="0.3">
      <c r="D467" s="19"/>
      <c r="E467" s="19"/>
      <c r="F467" s="19"/>
      <c r="G467" s="19"/>
      <c r="H467" s="19"/>
    </row>
    <row r="468" spans="4:8" x14ac:dyDescent="0.3">
      <c r="D468" s="19"/>
      <c r="E468" s="19"/>
      <c r="F468" s="19"/>
      <c r="G468" s="19"/>
      <c r="H468" s="19"/>
    </row>
    <row r="469" spans="4:8" x14ac:dyDescent="0.3">
      <c r="D469" s="19"/>
      <c r="E469" s="19"/>
      <c r="F469" s="19"/>
      <c r="G469" s="19"/>
      <c r="H469" s="19"/>
    </row>
    <row r="470" spans="4:8" x14ac:dyDescent="0.3">
      <c r="D470" s="19"/>
      <c r="E470" s="19"/>
      <c r="F470" s="19"/>
      <c r="G470" s="19"/>
      <c r="H470" s="19"/>
    </row>
    <row r="471" spans="4:8" x14ac:dyDescent="0.3">
      <c r="D471" s="19"/>
      <c r="E471" s="19"/>
      <c r="F471" s="19"/>
      <c r="G471" s="19"/>
      <c r="H471" s="19"/>
    </row>
    <row r="472" spans="4:8" x14ac:dyDescent="0.3">
      <c r="D472" s="19"/>
      <c r="E472" s="19"/>
      <c r="F472" s="19"/>
      <c r="G472" s="19"/>
      <c r="H472" s="19"/>
    </row>
    <row r="473" spans="4:8" x14ac:dyDescent="0.3">
      <c r="D473" s="19"/>
      <c r="E473" s="19"/>
      <c r="F473" s="19"/>
      <c r="G473" s="19"/>
      <c r="H473" s="19"/>
    </row>
    <row r="474" spans="4:8" x14ac:dyDescent="0.3">
      <c r="D474" s="19"/>
      <c r="E474" s="19"/>
      <c r="F474" s="19"/>
      <c r="G474" s="19"/>
      <c r="H474" s="19"/>
    </row>
    <row r="475" spans="4:8" x14ac:dyDescent="0.3">
      <c r="D475" s="19"/>
      <c r="E475" s="19"/>
      <c r="F475" s="19"/>
      <c r="G475" s="19"/>
      <c r="H475" s="19"/>
    </row>
    <row r="476" spans="4:8" x14ac:dyDescent="0.3">
      <c r="D476" s="19"/>
      <c r="E476" s="19"/>
      <c r="F476" s="19"/>
      <c r="G476" s="19"/>
      <c r="H476" s="19"/>
    </row>
    <row r="477" spans="4:8" x14ac:dyDescent="0.3">
      <c r="D477" s="19"/>
      <c r="E477" s="19"/>
      <c r="F477" s="19"/>
      <c r="G477" s="19"/>
      <c r="H477" s="19"/>
    </row>
    <row r="478" spans="4:8" x14ac:dyDescent="0.3">
      <c r="D478" s="19"/>
      <c r="E478" s="19"/>
      <c r="F478" s="19"/>
      <c r="G478" s="19"/>
      <c r="H478" s="19"/>
    </row>
    <row r="479" spans="4:8" x14ac:dyDescent="0.3">
      <c r="D479" s="19"/>
      <c r="E479" s="19"/>
      <c r="F479" s="19"/>
      <c r="G479" s="19"/>
      <c r="H479" s="19"/>
    </row>
    <row r="480" spans="4:8" x14ac:dyDescent="0.3">
      <c r="D480" s="19"/>
      <c r="E480" s="19"/>
      <c r="F480" s="19"/>
      <c r="G480" s="19"/>
      <c r="H480" s="19"/>
    </row>
    <row r="481" spans="4:8" x14ac:dyDescent="0.3">
      <c r="D481" s="19"/>
      <c r="E481" s="19"/>
      <c r="F481" s="19"/>
      <c r="G481" s="19"/>
      <c r="H481" s="19"/>
    </row>
    <row r="482" spans="4:8" x14ac:dyDescent="0.3">
      <c r="D482" s="19"/>
      <c r="E482" s="19"/>
      <c r="F482" s="19"/>
      <c r="G482" s="19"/>
      <c r="H482" s="19"/>
    </row>
    <row r="483" spans="4:8" x14ac:dyDescent="0.3">
      <c r="D483" s="19"/>
      <c r="E483" s="19"/>
      <c r="F483" s="19"/>
      <c r="G483" s="19"/>
      <c r="H483" s="19"/>
    </row>
    <row r="484" spans="4:8" x14ac:dyDescent="0.3">
      <c r="D484" s="19"/>
      <c r="E484" s="19"/>
      <c r="F484" s="19"/>
      <c r="G484" s="19"/>
      <c r="H484" s="19"/>
    </row>
    <row r="485" spans="4:8" x14ac:dyDescent="0.3">
      <c r="D485" s="19"/>
      <c r="E485" s="19"/>
      <c r="F485" s="19"/>
      <c r="G485" s="19"/>
      <c r="H485" s="19"/>
    </row>
    <row r="486" spans="4:8" x14ac:dyDescent="0.3">
      <c r="D486" s="19"/>
      <c r="E486" s="19"/>
      <c r="F486" s="19"/>
      <c r="G486" s="19"/>
      <c r="H486" s="19"/>
    </row>
    <row r="487" spans="4:8" x14ac:dyDescent="0.3">
      <c r="D487" s="19"/>
      <c r="E487" s="19"/>
      <c r="F487" s="19"/>
      <c r="G487" s="19"/>
      <c r="H487" s="19"/>
    </row>
    <row r="488" spans="4:8" x14ac:dyDescent="0.3">
      <c r="D488" s="19"/>
      <c r="E488" s="19"/>
      <c r="F488" s="19"/>
      <c r="G488" s="19"/>
      <c r="H488" s="19"/>
    </row>
    <row r="489" spans="4:8" x14ac:dyDescent="0.3">
      <c r="D489" s="19"/>
      <c r="E489" s="19"/>
      <c r="F489" s="19"/>
      <c r="G489" s="19"/>
      <c r="H489" s="19"/>
    </row>
    <row r="490" spans="4:8" x14ac:dyDescent="0.3">
      <c r="D490" s="19"/>
      <c r="E490" s="19"/>
      <c r="F490" s="19"/>
      <c r="G490" s="19"/>
      <c r="H490" s="19"/>
    </row>
    <row r="491" spans="4:8" x14ac:dyDescent="0.3">
      <c r="D491" s="19"/>
      <c r="E491" s="19"/>
      <c r="F491" s="19"/>
      <c r="G491" s="19"/>
      <c r="H491" s="19"/>
    </row>
    <row r="492" spans="4:8" x14ac:dyDescent="0.3">
      <c r="D492" s="19"/>
      <c r="E492" s="19"/>
      <c r="F492" s="19"/>
      <c r="G492" s="19"/>
      <c r="H492" s="19"/>
    </row>
    <row r="493" spans="4:8" x14ac:dyDescent="0.3">
      <c r="D493" s="19"/>
      <c r="E493" s="19"/>
      <c r="F493" s="19"/>
      <c r="G493" s="19"/>
      <c r="H493" s="19"/>
    </row>
    <row r="494" spans="4:8" x14ac:dyDescent="0.3">
      <c r="D494" s="19"/>
      <c r="E494" s="19"/>
      <c r="F494" s="19"/>
      <c r="G494" s="19"/>
      <c r="H494" s="19"/>
    </row>
    <row r="495" spans="4:8" x14ac:dyDescent="0.3">
      <c r="D495" s="19"/>
      <c r="E495" s="19"/>
      <c r="F495" s="19"/>
      <c r="G495" s="19"/>
      <c r="H495" s="19"/>
    </row>
    <row r="496" spans="4:8" x14ac:dyDescent="0.3">
      <c r="D496" s="19"/>
      <c r="E496" s="19"/>
      <c r="F496" s="19"/>
      <c r="G496" s="19"/>
      <c r="H496" s="19"/>
    </row>
    <row r="497" spans="4:8" x14ac:dyDescent="0.3">
      <c r="D497" s="19"/>
      <c r="E497" s="19"/>
      <c r="F497" s="19"/>
      <c r="G497" s="19"/>
      <c r="H497" s="19"/>
    </row>
    <row r="498" spans="4:8" x14ac:dyDescent="0.3">
      <c r="D498" s="19"/>
      <c r="E498" s="19"/>
      <c r="F498" s="19"/>
      <c r="G498" s="19"/>
      <c r="H498" s="19"/>
    </row>
    <row r="499" spans="4:8" x14ac:dyDescent="0.3">
      <c r="D499" s="19"/>
      <c r="E499" s="19"/>
      <c r="F499" s="19"/>
      <c r="G499" s="19"/>
      <c r="H499" s="19"/>
    </row>
    <row r="500" spans="4:8" x14ac:dyDescent="0.3">
      <c r="D500" s="19"/>
      <c r="E500" s="19"/>
      <c r="F500" s="19"/>
      <c r="G500" s="19"/>
      <c r="H500" s="19"/>
    </row>
    <row r="501" spans="4:8" x14ac:dyDescent="0.3">
      <c r="D501" s="19"/>
      <c r="E501" s="19"/>
      <c r="F501" s="19"/>
      <c r="G501" s="19"/>
      <c r="H501" s="19"/>
    </row>
    <row r="502" spans="4:8" x14ac:dyDescent="0.3">
      <c r="D502" s="19"/>
      <c r="E502" s="19"/>
      <c r="F502" s="19"/>
      <c r="G502" s="19"/>
      <c r="H502" s="19"/>
    </row>
    <row r="503" spans="4:8" x14ac:dyDescent="0.3">
      <c r="D503" s="19"/>
      <c r="E503" s="19"/>
      <c r="F503" s="19"/>
      <c r="G503" s="19"/>
      <c r="H503" s="19"/>
    </row>
    <row r="504" spans="4:8" x14ac:dyDescent="0.3">
      <c r="D504" s="19"/>
      <c r="E504" s="19"/>
      <c r="F504" s="19"/>
      <c r="G504" s="19"/>
      <c r="H504" s="19"/>
    </row>
    <row r="505" spans="4:8" x14ac:dyDescent="0.3">
      <c r="D505" s="19"/>
      <c r="E505" s="19"/>
      <c r="F505" s="19"/>
      <c r="G505" s="19"/>
      <c r="H505" s="19"/>
    </row>
    <row r="506" spans="4:8" x14ac:dyDescent="0.3">
      <c r="D506" s="19"/>
      <c r="E506" s="19"/>
      <c r="F506" s="19"/>
      <c r="G506" s="19"/>
      <c r="H506" s="19"/>
    </row>
    <row r="507" spans="4:8" x14ac:dyDescent="0.3">
      <c r="D507" s="19"/>
      <c r="E507" s="19"/>
      <c r="F507" s="19"/>
      <c r="G507" s="19"/>
      <c r="H507" s="19"/>
    </row>
    <row r="508" spans="4:8" x14ac:dyDescent="0.3">
      <c r="D508" s="19"/>
      <c r="E508" s="19"/>
      <c r="F508" s="19"/>
      <c r="G508" s="19"/>
      <c r="H508" s="19"/>
    </row>
    <row r="509" spans="4:8" x14ac:dyDescent="0.3">
      <c r="D509" s="19"/>
      <c r="E509" s="19"/>
      <c r="F509" s="19"/>
      <c r="G509" s="19"/>
      <c r="H509" s="19"/>
    </row>
    <row r="510" spans="4:8" x14ac:dyDescent="0.3">
      <c r="D510" s="19"/>
      <c r="E510" s="19"/>
      <c r="F510" s="19"/>
      <c r="G510" s="19"/>
      <c r="H510" s="19"/>
    </row>
    <row r="511" spans="4:8" x14ac:dyDescent="0.3">
      <c r="D511" s="19"/>
      <c r="E511" s="19"/>
      <c r="F511" s="19"/>
      <c r="G511" s="19"/>
      <c r="H511" s="19"/>
    </row>
    <row r="512" spans="4:8" x14ac:dyDescent="0.3">
      <c r="D512" s="19"/>
      <c r="E512" s="19"/>
      <c r="F512" s="19"/>
      <c r="G512" s="19"/>
      <c r="H512" s="19"/>
    </row>
    <row r="513" spans="4:8" x14ac:dyDescent="0.3">
      <c r="D513" s="19"/>
      <c r="E513" s="19"/>
      <c r="F513" s="19"/>
      <c r="G513" s="19"/>
      <c r="H513" s="19"/>
    </row>
    <row r="514" spans="4:8" x14ac:dyDescent="0.3">
      <c r="D514" s="19"/>
      <c r="E514" s="19"/>
      <c r="F514" s="19"/>
      <c r="G514" s="19"/>
      <c r="H514" s="19"/>
    </row>
    <row r="515" spans="4:8" x14ac:dyDescent="0.3">
      <c r="D515" s="19"/>
      <c r="E515" s="19"/>
      <c r="F515" s="19"/>
      <c r="G515" s="19"/>
      <c r="H515" s="19"/>
    </row>
    <row r="516" spans="4:8" x14ac:dyDescent="0.3">
      <c r="D516" s="19"/>
      <c r="E516" s="19"/>
      <c r="F516" s="19"/>
      <c r="G516" s="19"/>
      <c r="H516" s="19"/>
    </row>
    <row r="517" spans="4:8" x14ac:dyDescent="0.3">
      <c r="D517" s="19"/>
      <c r="E517" s="19"/>
      <c r="F517" s="19"/>
      <c r="G517" s="19"/>
      <c r="H517" s="19"/>
    </row>
    <row r="518" spans="4:8" x14ac:dyDescent="0.3">
      <c r="D518" s="19"/>
      <c r="E518" s="19"/>
      <c r="F518" s="19"/>
      <c r="G518" s="19"/>
      <c r="H518" s="19"/>
    </row>
    <row r="519" spans="4:8" x14ac:dyDescent="0.3">
      <c r="D519" s="19"/>
      <c r="E519" s="19"/>
      <c r="F519" s="19"/>
      <c r="G519" s="19"/>
      <c r="H519" s="19"/>
    </row>
    <row r="520" spans="4:8" x14ac:dyDescent="0.3">
      <c r="D520" s="19"/>
      <c r="E520" s="19"/>
      <c r="F520" s="19"/>
      <c r="G520" s="19"/>
      <c r="H520" s="19"/>
    </row>
    <row r="521" spans="4:8" x14ac:dyDescent="0.3">
      <c r="D521" s="19"/>
      <c r="E521" s="19"/>
      <c r="F521" s="19"/>
      <c r="G521" s="19"/>
      <c r="H521" s="19"/>
    </row>
    <row r="522" spans="4:8" x14ac:dyDescent="0.3">
      <c r="D522" s="19"/>
      <c r="E522" s="19"/>
      <c r="F522" s="19"/>
      <c r="G522" s="19"/>
      <c r="H522" s="19"/>
    </row>
    <row r="523" spans="4:8" x14ac:dyDescent="0.3">
      <c r="D523" s="19"/>
      <c r="E523" s="19"/>
      <c r="F523" s="19"/>
      <c r="G523" s="19"/>
      <c r="H523" s="19"/>
    </row>
    <row r="524" spans="4:8" x14ac:dyDescent="0.3">
      <c r="D524" s="19"/>
      <c r="E524" s="19"/>
      <c r="F524" s="19"/>
      <c r="G524" s="19"/>
      <c r="H524" s="19"/>
    </row>
    <row r="525" spans="4:8" x14ac:dyDescent="0.3">
      <c r="D525" s="19"/>
      <c r="E525" s="19"/>
      <c r="F525" s="19"/>
      <c r="G525" s="19"/>
      <c r="H525" s="19"/>
    </row>
    <row r="526" spans="4:8" x14ac:dyDescent="0.3">
      <c r="D526" s="19"/>
      <c r="E526" s="19"/>
      <c r="F526" s="19"/>
      <c r="G526" s="19"/>
      <c r="H526" s="19"/>
    </row>
    <row r="527" spans="4:8" x14ac:dyDescent="0.3">
      <c r="D527" s="19"/>
      <c r="E527" s="19"/>
      <c r="F527" s="19"/>
      <c r="G527" s="19"/>
      <c r="H527" s="19"/>
    </row>
    <row r="528" spans="4:8" x14ac:dyDescent="0.3">
      <c r="D528" s="19"/>
      <c r="E528" s="19"/>
      <c r="F528" s="19"/>
      <c r="G528" s="19"/>
      <c r="H528" s="19"/>
    </row>
    <row r="529" spans="4:8" x14ac:dyDescent="0.3">
      <c r="D529" s="19"/>
      <c r="E529" s="19"/>
      <c r="F529" s="19"/>
      <c r="G529" s="19"/>
      <c r="H529" s="19"/>
    </row>
    <row r="530" spans="4:8" x14ac:dyDescent="0.3">
      <c r="D530" s="19"/>
      <c r="E530" s="19"/>
      <c r="F530" s="19"/>
      <c r="G530" s="19"/>
      <c r="H530" s="19"/>
    </row>
    <row r="531" spans="4:8" x14ac:dyDescent="0.3">
      <c r="D531" s="19"/>
      <c r="E531" s="19"/>
      <c r="F531" s="19"/>
      <c r="G531" s="19"/>
      <c r="H531" s="19"/>
    </row>
    <row r="532" spans="4:8" x14ac:dyDescent="0.3">
      <c r="D532" s="19"/>
      <c r="E532" s="19"/>
      <c r="F532" s="19"/>
      <c r="G532" s="19"/>
      <c r="H532" s="19"/>
    </row>
    <row r="533" spans="4:8" x14ac:dyDescent="0.3">
      <c r="D533" s="19"/>
      <c r="E533" s="19"/>
      <c r="F533" s="19"/>
      <c r="G533" s="19"/>
      <c r="H533" s="19"/>
    </row>
    <row r="534" spans="4:8" x14ac:dyDescent="0.3">
      <c r="D534" s="19"/>
      <c r="E534" s="19"/>
      <c r="F534" s="19"/>
      <c r="G534" s="19"/>
      <c r="H534" s="19"/>
    </row>
    <row r="535" spans="4:8" x14ac:dyDescent="0.3">
      <c r="D535" s="19"/>
      <c r="E535" s="19"/>
      <c r="F535" s="19"/>
      <c r="G535" s="19"/>
      <c r="H535" s="19"/>
    </row>
    <row r="536" spans="4:8" x14ac:dyDescent="0.3">
      <c r="D536" s="19"/>
      <c r="E536" s="19"/>
      <c r="F536" s="19"/>
      <c r="G536" s="19"/>
      <c r="H536" s="19"/>
    </row>
    <row r="537" spans="4:8" x14ac:dyDescent="0.3">
      <c r="D537" s="19"/>
      <c r="E537" s="19"/>
      <c r="F537" s="19"/>
      <c r="G537" s="19"/>
      <c r="H537" s="19"/>
    </row>
    <row r="538" spans="4:8" x14ac:dyDescent="0.3">
      <c r="D538" s="19"/>
      <c r="E538" s="19"/>
      <c r="F538" s="19"/>
      <c r="G538" s="19"/>
      <c r="H538" s="19"/>
    </row>
    <row r="539" spans="4:8" x14ac:dyDescent="0.3">
      <c r="D539" s="19"/>
      <c r="E539" s="19"/>
      <c r="F539" s="19"/>
      <c r="G539" s="19"/>
      <c r="H539" s="19"/>
    </row>
    <row r="540" spans="4:8" x14ac:dyDescent="0.3">
      <c r="D540" s="19"/>
      <c r="E540" s="19"/>
      <c r="F540" s="19"/>
      <c r="G540" s="19"/>
      <c r="H540" s="19"/>
    </row>
    <row r="541" spans="4:8" x14ac:dyDescent="0.3">
      <c r="D541" s="19"/>
      <c r="E541" s="19"/>
      <c r="F541" s="19"/>
      <c r="G541" s="19"/>
      <c r="H541" s="19"/>
    </row>
    <row r="542" spans="4:8" x14ac:dyDescent="0.3">
      <c r="D542" s="19"/>
      <c r="E542" s="19"/>
      <c r="F542" s="19"/>
      <c r="G542" s="19"/>
      <c r="H542" s="19"/>
    </row>
    <row r="543" spans="4:8" x14ac:dyDescent="0.3">
      <c r="D543" s="19"/>
      <c r="E543" s="19"/>
      <c r="F543" s="19"/>
      <c r="G543" s="19"/>
      <c r="H543" s="19"/>
    </row>
    <row r="544" spans="4:8" x14ac:dyDescent="0.3">
      <c r="D544" s="19"/>
      <c r="E544" s="19"/>
      <c r="F544" s="19"/>
      <c r="G544" s="19"/>
      <c r="H544" s="19"/>
    </row>
    <row r="545" spans="4:8" x14ac:dyDescent="0.3">
      <c r="D545" s="19"/>
      <c r="E545" s="19"/>
      <c r="F545" s="19"/>
      <c r="G545" s="19"/>
      <c r="H545" s="19"/>
    </row>
    <row r="546" spans="4:8" x14ac:dyDescent="0.3">
      <c r="D546" s="19"/>
      <c r="E546" s="19"/>
      <c r="F546" s="19"/>
      <c r="G546" s="19"/>
      <c r="H546" s="19"/>
    </row>
    <row r="547" spans="4:8" x14ac:dyDescent="0.3">
      <c r="D547" s="19"/>
      <c r="E547" s="19"/>
      <c r="F547" s="19"/>
      <c r="G547" s="19"/>
      <c r="H547" s="19"/>
    </row>
    <row r="548" spans="4:8" x14ac:dyDescent="0.3">
      <c r="D548" s="19"/>
      <c r="E548" s="19"/>
      <c r="F548" s="19"/>
      <c r="G548" s="19"/>
      <c r="H548" s="19"/>
    </row>
    <row r="549" spans="4:8" x14ac:dyDescent="0.3">
      <c r="D549" s="19"/>
      <c r="E549" s="19"/>
      <c r="F549" s="19"/>
      <c r="G549" s="19"/>
      <c r="H549" s="19"/>
    </row>
    <row r="550" spans="4:8" x14ac:dyDescent="0.3">
      <c r="D550" s="19"/>
      <c r="E550" s="19"/>
      <c r="F550" s="19"/>
      <c r="G550" s="19"/>
      <c r="H550" s="19"/>
    </row>
    <row r="551" spans="4:8" x14ac:dyDescent="0.3">
      <c r="D551" s="19"/>
      <c r="E551" s="19"/>
      <c r="F551" s="19"/>
      <c r="G551" s="19"/>
      <c r="H551" s="19"/>
    </row>
    <row r="552" spans="4:8" x14ac:dyDescent="0.3">
      <c r="D552" s="19"/>
      <c r="E552" s="19"/>
      <c r="F552" s="19"/>
      <c r="G552" s="19"/>
      <c r="H552" s="19"/>
    </row>
    <row r="553" spans="4:8" x14ac:dyDescent="0.3">
      <c r="D553" s="19"/>
      <c r="E553" s="19"/>
      <c r="F553" s="19"/>
      <c r="G553" s="19"/>
      <c r="H553" s="19"/>
    </row>
    <row r="554" spans="4:8" x14ac:dyDescent="0.3">
      <c r="D554" s="19"/>
      <c r="E554" s="19"/>
      <c r="F554" s="19"/>
      <c r="G554" s="19"/>
      <c r="H554" s="19"/>
    </row>
    <row r="555" spans="4:8" x14ac:dyDescent="0.3">
      <c r="D555" s="19"/>
      <c r="E555" s="19"/>
      <c r="F555" s="19"/>
      <c r="G555" s="19"/>
      <c r="H555" s="19"/>
    </row>
    <row r="556" spans="4:8" x14ac:dyDescent="0.3">
      <c r="D556" s="19"/>
      <c r="E556" s="19"/>
      <c r="F556" s="19"/>
      <c r="G556" s="19"/>
      <c r="H556" s="19"/>
    </row>
    <row r="557" spans="4:8" x14ac:dyDescent="0.3">
      <c r="D557" s="19"/>
      <c r="E557" s="19"/>
      <c r="F557" s="19"/>
      <c r="G557" s="19"/>
      <c r="H557" s="19"/>
    </row>
    <row r="558" spans="4:8" x14ac:dyDescent="0.3">
      <c r="D558" s="19"/>
      <c r="E558" s="19"/>
      <c r="F558" s="19"/>
      <c r="G558" s="19"/>
      <c r="H558" s="19"/>
    </row>
    <row r="559" spans="4:8" x14ac:dyDescent="0.3">
      <c r="D559" s="19"/>
      <c r="E559" s="19"/>
      <c r="F559" s="19"/>
      <c r="G559" s="19"/>
      <c r="H559" s="19"/>
    </row>
    <row r="560" spans="4:8" x14ac:dyDescent="0.3">
      <c r="D560" s="19"/>
      <c r="E560" s="19"/>
      <c r="F560" s="19"/>
      <c r="G560" s="19"/>
      <c r="H560" s="19"/>
    </row>
    <row r="561" spans="4:8" x14ac:dyDescent="0.3">
      <c r="D561" s="19"/>
      <c r="E561" s="19"/>
      <c r="F561" s="19"/>
      <c r="G561" s="19"/>
      <c r="H561" s="19"/>
    </row>
    <row r="562" spans="4:8" x14ac:dyDescent="0.3">
      <c r="D562" s="19"/>
      <c r="E562" s="19"/>
      <c r="F562" s="19"/>
      <c r="G562" s="19"/>
      <c r="H562" s="19"/>
    </row>
    <row r="563" spans="4:8" x14ac:dyDescent="0.3">
      <c r="D563" s="19"/>
      <c r="E563" s="19"/>
      <c r="F563" s="19"/>
      <c r="G563" s="19"/>
      <c r="H563" s="19"/>
    </row>
    <row r="564" spans="4:8" x14ac:dyDescent="0.3">
      <c r="D564" s="19"/>
      <c r="E564" s="19"/>
      <c r="F564" s="19"/>
      <c r="G564" s="19"/>
      <c r="H564" s="19"/>
    </row>
    <row r="565" spans="4:8" x14ac:dyDescent="0.3">
      <c r="D565" s="19"/>
      <c r="E565" s="19"/>
      <c r="F565" s="19"/>
      <c r="G565" s="19"/>
      <c r="H565" s="19"/>
    </row>
    <row r="566" spans="4:8" x14ac:dyDescent="0.3">
      <c r="D566" s="19"/>
      <c r="E566" s="19"/>
      <c r="F566" s="19"/>
      <c r="G566" s="19"/>
      <c r="H566" s="19"/>
    </row>
    <row r="567" spans="4:8" x14ac:dyDescent="0.3">
      <c r="D567" s="19"/>
      <c r="E567" s="19"/>
      <c r="F567" s="19"/>
      <c r="G567" s="19"/>
      <c r="H567" s="19"/>
    </row>
    <row r="568" spans="4:8" x14ac:dyDescent="0.3">
      <c r="D568" s="19"/>
      <c r="E568" s="19"/>
      <c r="F568" s="19"/>
      <c r="G568" s="19"/>
      <c r="H568" s="19"/>
    </row>
    <row r="569" spans="4:8" x14ac:dyDescent="0.3">
      <c r="D569" s="19"/>
      <c r="E569" s="19"/>
      <c r="F569" s="19"/>
      <c r="G569" s="19"/>
      <c r="H569" s="19"/>
    </row>
    <row r="570" spans="4:8" x14ac:dyDescent="0.3">
      <c r="D570" s="19"/>
      <c r="E570" s="19"/>
      <c r="F570" s="19"/>
      <c r="G570" s="19"/>
      <c r="H570" s="19"/>
    </row>
    <row r="571" spans="4:8" x14ac:dyDescent="0.3">
      <c r="D571" s="19"/>
      <c r="E571" s="19"/>
      <c r="F571" s="19"/>
      <c r="G571" s="19"/>
      <c r="H571" s="19"/>
    </row>
    <row r="572" spans="4:8" x14ac:dyDescent="0.3">
      <c r="D572" s="19"/>
      <c r="E572" s="19"/>
      <c r="F572" s="19"/>
      <c r="G572" s="19"/>
      <c r="H572" s="19"/>
    </row>
    <row r="573" spans="4:8" x14ac:dyDescent="0.3">
      <c r="D573" s="19"/>
      <c r="E573" s="19"/>
      <c r="F573" s="19"/>
      <c r="G573" s="19"/>
      <c r="H573" s="19"/>
    </row>
    <row r="574" spans="4:8" x14ac:dyDescent="0.3">
      <c r="D574" s="19"/>
      <c r="E574" s="19"/>
      <c r="F574" s="19"/>
      <c r="G574" s="19"/>
      <c r="H574" s="19"/>
    </row>
    <row r="575" spans="4:8" x14ac:dyDescent="0.3">
      <c r="D575" s="19"/>
      <c r="E575" s="19"/>
      <c r="F575" s="19"/>
      <c r="G575" s="19"/>
      <c r="H575" s="19"/>
    </row>
    <row r="576" spans="4:8" x14ac:dyDescent="0.3">
      <c r="D576" s="19"/>
      <c r="E576" s="19"/>
      <c r="F576" s="19"/>
      <c r="G576" s="19"/>
      <c r="H576" s="19"/>
    </row>
    <row r="577" spans="4:8" x14ac:dyDescent="0.3">
      <c r="D577" s="19"/>
      <c r="E577" s="19"/>
      <c r="F577" s="19"/>
      <c r="G577" s="19"/>
      <c r="H577" s="19"/>
    </row>
    <row r="578" spans="4:8" x14ac:dyDescent="0.3">
      <c r="D578" s="19"/>
      <c r="E578" s="19"/>
      <c r="F578" s="19"/>
      <c r="G578" s="19"/>
      <c r="H578" s="19"/>
    </row>
    <row r="579" spans="4:8" x14ac:dyDescent="0.3">
      <c r="D579" s="19"/>
      <c r="E579" s="19"/>
      <c r="F579" s="19"/>
      <c r="G579" s="19"/>
      <c r="H579" s="19"/>
    </row>
    <row r="580" spans="4:8" x14ac:dyDescent="0.3">
      <c r="D580" s="19"/>
      <c r="E580" s="19"/>
      <c r="F580" s="19"/>
      <c r="G580" s="19"/>
      <c r="H580" s="19"/>
    </row>
    <row r="581" spans="4:8" x14ac:dyDescent="0.3">
      <c r="D581" s="19"/>
      <c r="E581" s="19"/>
      <c r="F581" s="19"/>
      <c r="G581" s="19"/>
      <c r="H581" s="19"/>
    </row>
    <row r="582" spans="4:8" x14ac:dyDescent="0.3">
      <c r="D582" s="19"/>
      <c r="E582" s="19"/>
      <c r="F582" s="19"/>
      <c r="G582" s="19"/>
      <c r="H582" s="19"/>
    </row>
    <row r="583" spans="4:8" x14ac:dyDescent="0.3">
      <c r="D583" s="19"/>
      <c r="E583" s="19"/>
      <c r="F583" s="19"/>
      <c r="G583" s="19"/>
      <c r="H583" s="19"/>
    </row>
    <row r="584" spans="4:8" x14ac:dyDescent="0.3">
      <c r="D584" s="19"/>
      <c r="E584" s="19"/>
      <c r="F584" s="19"/>
      <c r="G584" s="19"/>
      <c r="H584" s="19"/>
    </row>
    <row r="585" spans="4:8" x14ac:dyDescent="0.3">
      <c r="D585" s="19"/>
      <c r="E585" s="19"/>
      <c r="F585" s="19"/>
      <c r="G585" s="19"/>
      <c r="H585" s="19"/>
    </row>
    <row r="586" spans="4:8" x14ac:dyDescent="0.3">
      <c r="D586" s="19"/>
      <c r="E586" s="19"/>
      <c r="F586" s="19"/>
      <c r="G586" s="19"/>
      <c r="H586" s="19"/>
    </row>
    <row r="587" spans="4:8" x14ac:dyDescent="0.3">
      <c r="D587" s="19"/>
      <c r="E587" s="19"/>
      <c r="F587" s="19"/>
      <c r="G587" s="19"/>
      <c r="H587" s="19"/>
    </row>
    <row r="588" spans="4:8" x14ac:dyDescent="0.3">
      <c r="D588" s="19"/>
      <c r="E588" s="19"/>
      <c r="F588" s="19"/>
      <c r="G588" s="19"/>
      <c r="H588" s="19"/>
    </row>
    <row r="589" spans="4:8" x14ac:dyDescent="0.3">
      <c r="D589" s="19"/>
      <c r="E589" s="19"/>
      <c r="F589" s="19"/>
      <c r="G589" s="19"/>
      <c r="H589" s="19"/>
    </row>
    <row r="590" spans="4:8" x14ac:dyDescent="0.3">
      <c r="D590" s="19"/>
      <c r="E590" s="19"/>
      <c r="F590" s="19"/>
      <c r="G590" s="19"/>
      <c r="H590" s="19"/>
    </row>
    <row r="591" spans="4:8" x14ac:dyDescent="0.3">
      <c r="D591" s="19"/>
      <c r="E591" s="19"/>
      <c r="F591" s="19"/>
      <c r="G591" s="19"/>
      <c r="H591" s="19"/>
    </row>
    <row r="592" spans="4:8" x14ac:dyDescent="0.3">
      <c r="D592" s="19"/>
      <c r="E592" s="19"/>
      <c r="F592" s="19"/>
      <c r="G592" s="19"/>
      <c r="H592" s="19"/>
    </row>
    <row r="593" spans="4:8" x14ac:dyDescent="0.3">
      <c r="D593" s="19"/>
      <c r="E593" s="19"/>
      <c r="F593" s="19"/>
      <c r="G593" s="19"/>
      <c r="H593" s="19"/>
    </row>
    <row r="594" spans="4:8" x14ac:dyDescent="0.3">
      <c r="D594" s="19"/>
      <c r="E594" s="19"/>
      <c r="F594" s="19"/>
      <c r="G594" s="19"/>
      <c r="H594" s="19"/>
    </row>
    <row r="595" spans="4:8" x14ac:dyDescent="0.3">
      <c r="D595" s="19"/>
      <c r="E595" s="19"/>
      <c r="F595" s="19"/>
      <c r="G595" s="19"/>
      <c r="H595" s="19"/>
    </row>
    <row r="596" spans="4:8" x14ac:dyDescent="0.3">
      <c r="D596" s="19"/>
      <c r="E596" s="19"/>
      <c r="F596" s="19"/>
      <c r="G596" s="19"/>
      <c r="H596" s="19"/>
    </row>
    <row r="597" spans="4:8" x14ac:dyDescent="0.3">
      <c r="D597" s="19"/>
      <c r="E597" s="19"/>
      <c r="F597" s="19"/>
      <c r="G597" s="19"/>
      <c r="H597" s="19"/>
    </row>
    <row r="598" spans="4:8" x14ac:dyDescent="0.3">
      <c r="D598" s="19"/>
      <c r="E598" s="19"/>
      <c r="F598" s="19"/>
      <c r="G598" s="19"/>
      <c r="H598" s="19"/>
    </row>
    <row r="599" spans="4:8" x14ac:dyDescent="0.3">
      <c r="D599" s="19"/>
      <c r="E599" s="19"/>
      <c r="F599" s="19"/>
      <c r="G599" s="19"/>
      <c r="H599" s="19"/>
    </row>
    <row r="600" spans="4:8" x14ac:dyDescent="0.3">
      <c r="D600" s="19"/>
      <c r="E600" s="19"/>
      <c r="F600" s="19"/>
      <c r="G600" s="19"/>
      <c r="H600" s="19"/>
    </row>
    <row r="601" spans="4:8" x14ac:dyDescent="0.3">
      <c r="D601" s="19"/>
      <c r="E601" s="19"/>
      <c r="F601" s="19"/>
      <c r="G601" s="19"/>
      <c r="H601" s="19"/>
    </row>
    <row r="602" spans="4:8" x14ac:dyDescent="0.3">
      <c r="D602" s="19"/>
      <c r="E602" s="19"/>
      <c r="F602" s="19"/>
      <c r="G602" s="19"/>
      <c r="H602" s="19"/>
    </row>
    <row r="603" spans="4:8" x14ac:dyDescent="0.3">
      <c r="D603" s="19"/>
      <c r="E603" s="19"/>
      <c r="F603" s="19"/>
      <c r="G603" s="19"/>
      <c r="H603" s="19"/>
    </row>
    <row r="604" spans="4:8" x14ac:dyDescent="0.3">
      <c r="D604" s="19"/>
      <c r="E604" s="19"/>
      <c r="F604" s="19"/>
      <c r="G604" s="19"/>
      <c r="H604" s="19"/>
    </row>
    <row r="605" spans="4:8" x14ac:dyDescent="0.3">
      <c r="D605" s="19"/>
      <c r="E605" s="19"/>
      <c r="F605" s="19"/>
      <c r="G605" s="19"/>
      <c r="H605" s="19"/>
    </row>
    <row r="606" spans="4:8" x14ac:dyDescent="0.3">
      <c r="D606" s="19"/>
      <c r="E606" s="19"/>
      <c r="F606" s="19"/>
      <c r="G606" s="19"/>
      <c r="H606" s="19"/>
    </row>
    <row r="607" spans="4:8" x14ac:dyDescent="0.3">
      <c r="D607" s="19"/>
      <c r="E607" s="19"/>
      <c r="F607" s="19"/>
      <c r="G607" s="19"/>
      <c r="H607" s="19"/>
    </row>
    <row r="608" spans="4:8" x14ac:dyDescent="0.3">
      <c r="D608" s="19"/>
      <c r="E608" s="19"/>
      <c r="F608" s="19"/>
      <c r="G608" s="19"/>
      <c r="H608" s="19"/>
    </row>
    <row r="609" spans="4:8" x14ac:dyDescent="0.3">
      <c r="D609" s="19"/>
      <c r="E609" s="19"/>
      <c r="F609" s="19"/>
      <c r="G609" s="19"/>
      <c r="H609" s="19"/>
    </row>
    <row r="610" spans="4:8" x14ac:dyDescent="0.3">
      <c r="D610" s="19"/>
      <c r="E610" s="19"/>
      <c r="F610" s="19"/>
      <c r="G610" s="19"/>
      <c r="H610" s="19"/>
    </row>
    <row r="611" spans="4:8" x14ac:dyDescent="0.3">
      <c r="D611" s="19"/>
      <c r="E611" s="19"/>
      <c r="F611" s="19"/>
      <c r="G611" s="19"/>
      <c r="H611" s="19"/>
    </row>
    <row r="612" spans="4:8" x14ac:dyDescent="0.3">
      <c r="D612" s="19"/>
      <c r="E612" s="19"/>
      <c r="F612" s="19"/>
      <c r="G612" s="19"/>
      <c r="H612" s="19"/>
    </row>
    <row r="613" spans="4:8" x14ac:dyDescent="0.3">
      <c r="D613" s="19"/>
      <c r="E613" s="19"/>
      <c r="F613" s="19"/>
      <c r="G613" s="19"/>
      <c r="H613" s="19"/>
    </row>
    <row r="614" spans="4:8" x14ac:dyDescent="0.3">
      <c r="D614" s="19"/>
      <c r="E614" s="19"/>
      <c r="F614" s="19"/>
      <c r="G614" s="19"/>
      <c r="H614" s="19"/>
    </row>
    <row r="615" spans="4:8" x14ac:dyDescent="0.3">
      <c r="D615" s="19"/>
      <c r="E615" s="19"/>
      <c r="F615" s="19"/>
      <c r="G615" s="19"/>
      <c r="H615" s="19"/>
    </row>
    <row r="616" spans="4:8" x14ac:dyDescent="0.3">
      <c r="D616" s="19"/>
      <c r="E616" s="19"/>
      <c r="F616" s="19"/>
      <c r="G616" s="19"/>
      <c r="H616" s="19"/>
    </row>
    <row r="617" spans="4:8" x14ac:dyDescent="0.3">
      <c r="D617" s="19"/>
      <c r="E617" s="19"/>
      <c r="F617" s="19"/>
      <c r="G617" s="19"/>
      <c r="H617" s="19"/>
    </row>
    <row r="618" spans="4:8" x14ac:dyDescent="0.3">
      <c r="D618" s="19"/>
      <c r="E618" s="19"/>
      <c r="F618" s="19"/>
      <c r="G618" s="19"/>
      <c r="H618" s="19"/>
    </row>
    <row r="619" spans="4:8" x14ac:dyDescent="0.3">
      <c r="D619" s="19"/>
      <c r="E619" s="19"/>
      <c r="F619" s="19"/>
      <c r="G619" s="19"/>
      <c r="H619" s="19"/>
    </row>
    <row r="620" spans="4:8" x14ac:dyDescent="0.3">
      <c r="D620" s="19"/>
      <c r="E620" s="19"/>
      <c r="F620" s="19"/>
      <c r="G620" s="19"/>
      <c r="H620" s="19"/>
    </row>
    <row r="621" spans="4:8" x14ac:dyDescent="0.3">
      <c r="D621" s="19"/>
      <c r="E621" s="19"/>
      <c r="F621" s="19"/>
      <c r="G621" s="19"/>
      <c r="H621" s="19"/>
    </row>
    <row r="622" spans="4:8" x14ac:dyDescent="0.3">
      <c r="D622" s="19"/>
      <c r="E622" s="19"/>
      <c r="F622" s="19"/>
      <c r="G622" s="19"/>
      <c r="H622" s="19"/>
    </row>
    <row r="623" spans="4:8" x14ac:dyDescent="0.3">
      <c r="D623" s="19"/>
      <c r="E623" s="19"/>
      <c r="F623" s="19"/>
      <c r="G623" s="19"/>
      <c r="H623" s="19"/>
    </row>
    <row r="624" spans="4:8" x14ac:dyDescent="0.3">
      <c r="D624" s="19"/>
      <c r="E624" s="19"/>
      <c r="F624" s="19"/>
      <c r="G624" s="19"/>
      <c r="H624" s="19"/>
    </row>
    <row r="625" spans="4:8" x14ac:dyDescent="0.3">
      <c r="D625" s="19"/>
      <c r="E625" s="19"/>
      <c r="F625" s="19"/>
      <c r="G625" s="19"/>
      <c r="H625" s="19"/>
    </row>
    <row r="626" spans="4:8" x14ac:dyDescent="0.3">
      <c r="D626" s="19"/>
      <c r="E626" s="19"/>
      <c r="F626" s="19"/>
      <c r="G626" s="19"/>
      <c r="H626" s="19"/>
    </row>
    <row r="627" spans="4:8" x14ac:dyDescent="0.3">
      <c r="D627" s="19"/>
      <c r="E627" s="19"/>
      <c r="F627" s="19"/>
      <c r="G627" s="19"/>
      <c r="H627" s="19"/>
    </row>
    <row r="628" spans="4:8" x14ac:dyDescent="0.3">
      <c r="D628" s="19"/>
      <c r="E628" s="19"/>
      <c r="F628" s="19"/>
      <c r="G628" s="19"/>
      <c r="H628" s="19"/>
    </row>
    <row r="629" spans="4:8" x14ac:dyDescent="0.3">
      <c r="D629" s="19"/>
      <c r="E629" s="19"/>
      <c r="F629" s="19"/>
      <c r="G629" s="19"/>
      <c r="H629" s="19"/>
    </row>
    <row r="630" spans="4:8" x14ac:dyDescent="0.3">
      <c r="D630" s="19"/>
      <c r="E630" s="19"/>
      <c r="F630" s="19"/>
      <c r="G630" s="19"/>
      <c r="H630" s="19"/>
    </row>
    <row r="631" spans="4:8" x14ac:dyDescent="0.3">
      <c r="D631" s="19"/>
      <c r="E631" s="19"/>
      <c r="F631" s="19"/>
      <c r="G631" s="19"/>
      <c r="H631" s="19"/>
    </row>
    <row r="632" spans="4:8" x14ac:dyDescent="0.3">
      <c r="D632" s="19"/>
      <c r="E632" s="19"/>
      <c r="F632" s="19"/>
      <c r="G632" s="19"/>
      <c r="H632" s="19"/>
    </row>
    <row r="633" spans="4:8" x14ac:dyDescent="0.3">
      <c r="D633" s="19"/>
      <c r="E633" s="19"/>
      <c r="F633" s="19"/>
      <c r="G633" s="19"/>
      <c r="H633" s="19"/>
    </row>
    <row r="634" spans="4:8" x14ac:dyDescent="0.3">
      <c r="D634" s="19"/>
      <c r="E634" s="19"/>
      <c r="F634" s="19"/>
      <c r="G634" s="19"/>
      <c r="H634" s="19"/>
    </row>
    <row r="635" spans="4:8" x14ac:dyDescent="0.3">
      <c r="D635" s="19"/>
      <c r="E635" s="19"/>
      <c r="F635" s="19"/>
      <c r="G635" s="19"/>
      <c r="H635" s="19"/>
    </row>
    <row r="636" spans="4:8" x14ac:dyDescent="0.3">
      <c r="D636" s="19"/>
      <c r="E636" s="19"/>
      <c r="F636" s="19"/>
      <c r="G636" s="19"/>
      <c r="H636" s="19"/>
    </row>
    <row r="637" spans="4:8" x14ac:dyDescent="0.3">
      <c r="D637" s="19"/>
      <c r="E637" s="19"/>
      <c r="F637" s="19"/>
      <c r="G637" s="19"/>
      <c r="H637" s="19"/>
    </row>
    <row r="638" spans="4:8" x14ac:dyDescent="0.3">
      <c r="D638" s="19"/>
      <c r="E638" s="19"/>
      <c r="F638" s="19"/>
      <c r="G638" s="19"/>
      <c r="H638" s="19"/>
    </row>
    <row r="639" spans="4:8" x14ac:dyDescent="0.3">
      <c r="D639" s="19"/>
      <c r="E639" s="19"/>
      <c r="F639" s="19"/>
      <c r="G639" s="19"/>
      <c r="H639" s="19"/>
    </row>
    <row r="640" spans="4:8" x14ac:dyDescent="0.3">
      <c r="D640" s="19"/>
      <c r="E640" s="19"/>
      <c r="F640" s="19"/>
      <c r="G640" s="19"/>
      <c r="H640" s="19"/>
    </row>
    <row r="641" spans="4:8" x14ac:dyDescent="0.3">
      <c r="D641" s="19"/>
      <c r="E641" s="19"/>
      <c r="F641" s="19"/>
      <c r="G641" s="19"/>
      <c r="H641" s="19"/>
    </row>
    <row r="642" spans="4:8" x14ac:dyDescent="0.3">
      <c r="D642" s="19"/>
      <c r="E642" s="19"/>
      <c r="F642" s="19"/>
      <c r="G642" s="19"/>
      <c r="H642" s="19"/>
    </row>
    <row r="643" spans="4:8" x14ac:dyDescent="0.3">
      <c r="D643" s="19"/>
      <c r="E643" s="19"/>
      <c r="F643" s="19"/>
      <c r="G643" s="19"/>
      <c r="H643" s="19"/>
    </row>
    <row r="644" spans="4:8" x14ac:dyDescent="0.3">
      <c r="D644" s="19"/>
      <c r="E644" s="19"/>
      <c r="F644" s="19"/>
      <c r="G644" s="19"/>
      <c r="H644" s="19"/>
    </row>
    <row r="645" spans="4:8" x14ac:dyDescent="0.3">
      <c r="D645" s="19"/>
      <c r="E645" s="19"/>
      <c r="F645" s="19"/>
      <c r="G645" s="19"/>
      <c r="H645" s="19"/>
    </row>
    <row r="646" spans="4:8" x14ac:dyDescent="0.3">
      <c r="D646" s="19"/>
      <c r="E646" s="19"/>
      <c r="F646" s="19"/>
      <c r="G646" s="19"/>
      <c r="H646" s="19"/>
    </row>
    <row r="647" spans="4:8" x14ac:dyDescent="0.3">
      <c r="D647" s="19"/>
      <c r="E647" s="19"/>
      <c r="F647" s="19"/>
      <c r="G647" s="19"/>
      <c r="H647" s="19"/>
    </row>
    <row r="648" spans="4:8" x14ac:dyDescent="0.3">
      <c r="D648" s="19"/>
      <c r="E648" s="19"/>
      <c r="F648" s="19"/>
      <c r="G648" s="19"/>
      <c r="H648" s="19"/>
    </row>
    <row r="649" spans="4:8" x14ac:dyDescent="0.3">
      <c r="D649" s="19"/>
      <c r="E649" s="19"/>
      <c r="F649" s="19"/>
      <c r="G649" s="19"/>
      <c r="H649" s="19"/>
    </row>
    <row r="650" spans="4:8" x14ac:dyDescent="0.3">
      <c r="D650" s="19"/>
      <c r="E650" s="19"/>
      <c r="F650" s="19"/>
      <c r="G650" s="19"/>
      <c r="H650" s="19"/>
    </row>
    <row r="651" spans="4:8" x14ac:dyDescent="0.3">
      <c r="D651" s="19"/>
      <c r="E651" s="19"/>
      <c r="F651" s="19"/>
      <c r="G651" s="19"/>
      <c r="H651" s="19"/>
    </row>
    <row r="652" spans="4:8" x14ac:dyDescent="0.3">
      <c r="D652" s="19"/>
      <c r="E652" s="19"/>
      <c r="F652" s="19"/>
      <c r="G652" s="19"/>
      <c r="H652" s="19"/>
    </row>
    <row r="653" spans="4:8" x14ac:dyDescent="0.3">
      <c r="D653" s="19"/>
      <c r="E653" s="19"/>
      <c r="F653" s="19"/>
      <c r="G653" s="19"/>
      <c r="H653" s="19"/>
    </row>
    <row r="654" spans="4:8" x14ac:dyDescent="0.3">
      <c r="D654" s="19"/>
      <c r="E654" s="19"/>
      <c r="F654" s="19"/>
      <c r="G654" s="19"/>
      <c r="H654" s="19"/>
    </row>
    <row r="655" spans="4:8" x14ac:dyDescent="0.3">
      <c r="D655" s="19"/>
      <c r="E655" s="19"/>
      <c r="F655" s="19"/>
      <c r="G655" s="19"/>
      <c r="H655" s="19"/>
    </row>
    <row r="656" spans="4:8" x14ac:dyDescent="0.3">
      <c r="D656" s="19"/>
      <c r="E656" s="19"/>
      <c r="F656" s="19"/>
      <c r="G656" s="19"/>
      <c r="H656" s="19"/>
    </row>
    <row r="657" spans="4:8" x14ac:dyDescent="0.3">
      <c r="D657" s="19"/>
      <c r="E657" s="19"/>
      <c r="F657" s="19"/>
      <c r="G657" s="19"/>
      <c r="H657" s="19"/>
    </row>
    <row r="658" spans="4:8" x14ac:dyDescent="0.3">
      <c r="D658" s="19"/>
      <c r="E658" s="19"/>
      <c r="F658" s="19"/>
      <c r="G658" s="19"/>
      <c r="H658" s="19"/>
    </row>
    <row r="659" spans="4:8" x14ac:dyDescent="0.3">
      <c r="D659" s="19"/>
      <c r="E659" s="19"/>
      <c r="F659" s="19"/>
      <c r="G659" s="19"/>
      <c r="H659" s="19"/>
    </row>
    <row r="660" spans="4:8" x14ac:dyDescent="0.3">
      <c r="D660" s="19"/>
      <c r="E660" s="19"/>
      <c r="F660" s="19"/>
      <c r="G660" s="19"/>
      <c r="H660" s="19"/>
    </row>
    <row r="661" spans="4:8" x14ac:dyDescent="0.3">
      <c r="D661" s="19"/>
      <c r="E661" s="19"/>
      <c r="F661" s="19"/>
      <c r="G661" s="19"/>
      <c r="H661" s="19"/>
    </row>
    <row r="662" spans="4:8" x14ac:dyDescent="0.3">
      <c r="D662" s="19"/>
      <c r="E662" s="19"/>
      <c r="F662" s="19"/>
      <c r="G662" s="19"/>
      <c r="H662" s="19"/>
    </row>
    <row r="663" spans="4:8" x14ac:dyDescent="0.3">
      <c r="D663" s="19"/>
      <c r="E663" s="19"/>
      <c r="F663" s="19"/>
      <c r="G663" s="19"/>
      <c r="H663" s="19"/>
    </row>
    <row r="664" spans="4:8" x14ac:dyDescent="0.3">
      <c r="D664" s="19"/>
      <c r="E664" s="19"/>
      <c r="F664" s="19"/>
      <c r="G664" s="19"/>
      <c r="H664" s="19"/>
    </row>
    <row r="665" spans="4:8" x14ac:dyDescent="0.3">
      <c r="D665" s="19"/>
      <c r="E665" s="19"/>
      <c r="F665" s="19"/>
      <c r="G665" s="19"/>
      <c r="H665" s="19"/>
    </row>
    <row r="666" spans="4:8" x14ac:dyDescent="0.3">
      <c r="D666" s="19"/>
      <c r="E666" s="19"/>
      <c r="F666" s="19"/>
      <c r="G666" s="19"/>
      <c r="H666" s="19"/>
    </row>
    <row r="667" spans="4:8" x14ac:dyDescent="0.3">
      <c r="D667" s="19"/>
      <c r="E667" s="19"/>
      <c r="F667" s="19"/>
      <c r="G667" s="19"/>
      <c r="H667" s="19"/>
    </row>
    <row r="668" spans="4:8" x14ac:dyDescent="0.3">
      <c r="D668" s="19"/>
      <c r="E668" s="19"/>
      <c r="F668" s="19"/>
      <c r="G668" s="19"/>
      <c r="H668" s="19"/>
    </row>
    <row r="669" spans="4:8" x14ac:dyDescent="0.3">
      <c r="D669" s="19"/>
      <c r="E669" s="19"/>
      <c r="F669" s="19"/>
      <c r="G669" s="19"/>
      <c r="H669" s="19"/>
    </row>
    <row r="670" spans="4:8" x14ac:dyDescent="0.3">
      <c r="D670" s="19"/>
      <c r="E670" s="19"/>
      <c r="F670" s="19"/>
      <c r="G670" s="19"/>
      <c r="H670" s="19"/>
    </row>
    <row r="671" spans="4:8" x14ac:dyDescent="0.3">
      <c r="D671" s="19"/>
      <c r="E671" s="19"/>
      <c r="F671" s="19"/>
      <c r="G671" s="19"/>
      <c r="H671" s="19"/>
    </row>
    <row r="672" spans="4:8" x14ac:dyDescent="0.3">
      <c r="D672" s="19"/>
      <c r="E672" s="19"/>
      <c r="F672" s="19"/>
      <c r="G672" s="19"/>
      <c r="H672" s="19"/>
    </row>
    <row r="673" spans="4:8" x14ac:dyDescent="0.3">
      <c r="D673" s="19"/>
      <c r="E673" s="19"/>
      <c r="F673" s="19"/>
      <c r="G673" s="19"/>
      <c r="H673" s="19"/>
    </row>
    <row r="674" spans="4:8" x14ac:dyDescent="0.3">
      <c r="D674" s="19"/>
      <c r="E674" s="19"/>
      <c r="F674" s="19"/>
      <c r="G674" s="19"/>
      <c r="H674" s="19"/>
    </row>
    <row r="675" spans="4:8" x14ac:dyDescent="0.3">
      <c r="D675" s="19"/>
      <c r="E675" s="19"/>
      <c r="F675" s="19"/>
      <c r="G675" s="19"/>
      <c r="H675" s="19"/>
    </row>
    <row r="676" spans="4:8" x14ac:dyDescent="0.3">
      <c r="D676" s="19"/>
      <c r="E676" s="19"/>
      <c r="F676" s="19"/>
      <c r="G676" s="19"/>
      <c r="H676" s="19"/>
    </row>
    <row r="677" spans="4:8" x14ac:dyDescent="0.3">
      <c r="D677" s="19"/>
      <c r="E677" s="19"/>
      <c r="F677" s="19"/>
      <c r="G677" s="19"/>
      <c r="H677" s="19"/>
    </row>
    <row r="678" spans="4:8" x14ac:dyDescent="0.3">
      <c r="D678" s="19"/>
      <c r="E678" s="19"/>
      <c r="F678" s="19"/>
      <c r="G678" s="19"/>
      <c r="H678" s="19"/>
    </row>
    <row r="679" spans="4:8" x14ac:dyDescent="0.3">
      <c r="D679" s="19"/>
      <c r="E679" s="19"/>
      <c r="F679" s="19"/>
      <c r="G679" s="19"/>
      <c r="H679" s="19"/>
    </row>
    <row r="680" spans="4:8" x14ac:dyDescent="0.3">
      <c r="D680" s="19"/>
      <c r="E680" s="19"/>
      <c r="F680" s="19"/>
      <c r="G680" s="19"/>
      <c r="H680" s="19"/>
    </row>
    <row r="681" spans="4:8" x14ac:dyDescent="0.3">
      <c r="D681" s="19"/>
      <c r="E681" s="19"/>
      <c r="F681" s="19"/>
      <c r="G681" s="19"/>
      <c r="H681" s="19"/>
    </row>
    <row r="682" spans="4:8" x14ac:dyDescent="0.3">
      <c r="D682" s="19"/>
      <c r="E682" s="19"/>
      <c r="F682" s="19"/>
      <c r="G682" s="19"/>
      <c r="H682" s="19"/>
    </row>
    <row r="683" spans="4:8" x14ac:dyDescent="0.3">
      <c r="D683" s="19"/>
      <c r="E683" s="19"/>
      <c r="F683" s="19"/>
      <c r="G683" s="19"/>
      <c r="H683" s="19"/>
    </row>
    <row r="684" spans="4:8" x14ac:dyDescent="0.3">
      <c r="D684" s="19"/>
      <c r="E684" s="19"/>
      <c r="F684" s="19"/>
      <c r="G684" s="19"/>
      <c r="H684" s="19"/>
    </row>
    <row r="685" spans="4:8" x14ac:dyDescent="0.3">
      <c r="D685" s="19"/>
      <c r="E685" s="19"/>
      <c r="F685" s="19"/>
      <c r="G685" s="19"/>
      <c r="H685" s="19"/>
    </row>
    <row r="686" spans="4:8" x14ac:dyDescent="0.3">
      <c r="D686" s="19"/>
      <c r="E686" s="19"/>
      <c r="F686" s="19"/>
      <c r="G686" s="19"/>
      <c r="H686" s="19"/>
    </row>
    <row r="687" spans="4:8" x14ac:dyDescent="0.3">
      <c r="D687" s="19"/>
      <c r="E687" s="19"/>
      <c r="F687" s="19"/>
      <c r="G687" s="19"/>
      <c r="H687" s="19"/>
    </row>
    <row r="688" spans="4:8" x14ac:dyDescent="0.3">
      <c r="D688" s="19"/>
      <c r="E688" s="19"/>
      <c r="F688" s="19"/>
      <c r="G688" s="19"/>
      <c r="H688" s="19"/>
    </row>
    <row r="689" spans="4:8" x14ac:dyDescent="0.3">
      <c r="D689" s="19"/>
      <c r="E689" s="19"/>
      <c r="F689" s="19"/>
      <c r="G689" s="19"/>
      <c r="H689" s="19"/>
    </row>
    <row r="690" spans="4:8" x14ac:dyDescent="0.3">
      <c r="D690" s="19"/>
      <c r="E690" s="19"/>
      <c r="F690" s="19"/>
      <c r="G690" s="19"/>
      <c r="H690" s="19"/>
    </row>
    <row r="691" spans="4:8" x14ac:dyDescent="0.3">
      <c r="D691" s="19"/>
      <c r="E691" s="19"/>
      <c r="F691" s="19"/>
      <c r="G691" s="19"/>
      <c r="H691" s="19"/>
    </row>
    <row r="692" spans="4:8" x14ac:dyDescent="0.3">
      <c r="D692" s="19"/>
      <c r="E692" s="19"/>
      <c r="F692" s="19"/>
      <c r="G692" s="19"/>
      <c r="H692" s="19"/>
    </row>
    <row r="693" spans="4:8" x14ac:dyDescent="0.3">
      <c r="D693" s="19"/>
      <c r="E693" s="19"/>
      <c r="F693" s="19"/>
      <c r="G693" s="19"/>
      <c r="H693" s="19"/>
    </row>
    <row r="694" spans="4:8" x14ac:dyDescent="0.3">
      <c r="D694" s="19"/>
      <c r="E694" s="19"/>
      <c r="F694" s="19"/>
      <c r="G694" s="19"/>
      <c r="H694" s="19"/>
    </row>
    <row r="695" spans="4:8" x14ac:dyDescent="0.3">
      <c r="D695" s="19"/>
      <c r="E695" s="19"/>
      <c r="F695" s="19"/>
      <c r="G695" s="19"/>
      <c r="H695" s="19"/>
    </row>
    <row r="696" spans="4:8" x14ac:dyDescent="0.3">
      <c r="D696" s="19"/>
      <c r="E696" s="19"/>
      <c r="F696" s="19"/>
      <c r="G696" s="19"/>
      <c r="H696" s="19"/>
    </row>
    <row r="697" spans="4:8" x14ac:dyDescent="0.3">
      <c r="D697" s="19"/>
      <c r="E697" s="19"/>
      <c r="F697" s="19"/>
      <c r="G697" s="19"/>
      <c r="H697" s="19"/>
    </row>
    <row r="698" spans="4:8" x14ac:dyDescent="0.3">
      <c r="D698" s="19"/>
      <c r="E698" s="19"/>
      <c r="F698" s="19"/>
      <c r="G698" s="19"/>
      <c r="H698" s="19"/>
    </row>
    <row r="699" spans="4:8" x14ac:dyDescent="0.3">
      <c r="D699" s="19"/>
      <c r="E699" s="19"/>
      <c r="F699" s="19"/>
      <c r="G699" s="19"/>
      <c r="H699" s="19"/>
    </row>
    <row r="700" spans="4:8" x14ac:dyDescent="0.3">
      <c r="D700" s="19"/>
      <c r="E700" s="19"/>
      <c r="F700" s="19"/>
      <c r="G700" s="19"/>
      <c r="H700" s="19"/>
    </row>
    <row r="701" spans="4:8" x14ac:dyDescent="0.3">
      <c r="D701" s="19"/>
      <c r="E701" s="19"/>
      <c r="F701" s="19"/>
      <c r="G701" s="19"/>
      <c r="H701" s="19"/>
    </row>
    <row r="702" spans="4:8" x14ac:dyDescent="0.3">
      <c r="D702" s="19"/>
      <c r="E702" s="19"/>
      <c r="F702" s="19"/>
      <c r="G702" s="19"/>
      <c r="H702" s="19"/>
    </row>
    <row r="703" spans="4:8" x14ac:dyDescent="0.3">
      <c r="D703" s="19"/>
      <c r="E703" s="19"/>
      <c r="F703" s="19"/>
      <c r="G703" s="19"/>
      <c r="H703" s="19"/>
    </row>
    <row r="704" spans="4:8" x14ac:dyDescent="0.3">
      <c r="D704" s="19"/>
      <c r="E704" s="19"/>
      <c r="F704" s="19"/>
      <c r="G704" s="19"/>
      <c r="H704" s="19"/>
    </row>
    <row r="705" spans="4:8" x14ac:dyDescent="0.3">
      <c r="D705" s="19"/>
      <c r="E705" s="19"/>
      <c r="F705" s="19"/>
      <c r="G705" s="19"/>
      <c r="H705" s="19"/>
    </row>
    <row r="706" spans="4:8" x14ac:dyDescent="0.3">
      <c r="D706" s="19"/>
      <c r="E706" s="19"/>
      <c r="F706" s="19"/>
      <c r="G706" s="19"/>
      <c r="H706" s="19"/>
    </row>
    <row r="707" spans="4:8" x14ac:dyDescent="0.3">
      <c r="D707" s="19"/>
      <c r="E707" s="19"/>
      <c r="F707" s="19"/>
      <c r="G707" s="19"/>
      <c r="H707" s="19"/>
    </row>
    <row r="708" spans="4:8" x14ac:dyDescent="0.3">
      <c r="D708" s="19"/>
      <c r="E708" s="19"/>
      <c r="F708" s="19"/>
      <c r="G708" s="19"/>
      <c r="H708" s="19"/>
    </row>
    <row r="709" spans="4:8" x14ac:dyDescent="0.3">
      <c r="D709" s="19"/>
      <c r="E709" s="19"/>
      <c r="F709" s="19"/>
      <c r="G709" s="19"/>
      <c r="H709" s="19"/>
    </row>
    <row r="710" spans="4:8" x14ac:dyDescent="0.3">
      <c r="D710" s="19"/>
      <c r="E710" s="19"/>
      <c r="F710" s="19"/>
      <c r="G710" s="19"/>
      <c r="H710" s="19"/>
    </row>
    <row r="711" spans="4:8" x14ac:dyDescent="0.3">
      <c r="D711" s="19"/>
      <c r="E711" s="19"/>
      <c r="F711" s="19"/>
      <c r="G711" s="19"/>
      <c r="H711" s="19"/>
    </row>
    <row r="712" spans="4:8" x14ac:dyDescent="0.3">
      <c r="D712" s="19"/>
      <c r="E712" s="19"/>
      <c r="F712" s="19"/>
      <c r="G712" s="19"/>
      <c r="H712" s="19"/>
    </row>
    <row r="713" spans="4:8" x14ac:dyDescent="0.3">
      <c r="D713" s="19"/>
      <c r="E713" s="19"/>
      <c r="F713" s="19"/>
      <c r="G713" s="19"/>
      <c r="H713" s="19"/>
    </row>
    <row r="714" spans="4:8" x14ac:dyDescent="0.3">
      <c r="D714" s="19"/>
      <c r="E714" s="19"/>
      <c r="F714" s="19"/>
      <c r="G714" s="19"/>
      <c r="H714" s="19"/>
    </row>
    <row r="715" spans="4:8" x14ac:dyDescent="0.3">
      <c r="D715" s="19"/>
      <c r="E715" s="19"/>
      <c r="F715" s="19"/>
      <c r="G715" s="19"/>
      <c r="H715" s="19"/>
    </row>
    <row r="716" spans="4:8" x14ac:dyDescent="0.3">
      <c r="D716" s="19"/>
      <c r="E716" s="19"/>
      <c r="F716" s="19"/>
      <c r="G716" s="19"/>
      <c r="H716" s="19"/>
    </row>
    <row r="717" spans="4:8" x14ac:dyDescent="0.3">
      <c r="D717" s="19"/>
      <c r="E717" s="19"/>
      <c r="F717" s="19"/>
      <c r="G717" s="19"/>
      <c r="H717" s="19"/>
    </row>
    <row r="718" spans="4:8" x14ac:dyDescent="0.3">
      <c r="D718" s="19"/>
      <c r="E718" s="19"/>
      <c r="F718" s="19"/>
      <c r="G718" s="19"/>
      <c r="H718" s="19"/>
    </row>
    <row r="719" spans="4:8" x14ac:dyDescent="0.3">
      <c r="D719" s="19"/>
      <c r="E719" s="19"/>
      <c r="F719" s="19"/>
      <c r="G719" s="19"/>
      <c r="H719" s="19"/>
    </row>
    <row r="720" spans="4:8" x14ac:dyDescent="0.3">
      <c r="D720" s="19"/>
      <c r="E720" s="19"/>
      <c r="F720" s="19"/>
      <c r="G720" s="19"/>
      <c r="H720" s="19"/>
    </row>
    <row r="721" spans="4:8" x14ac:dyDescent="0.3">
      <c r="D721" s="19"/>
      <c r="E721" s="19"/>
      <c r="F721" s="19"/>
      <c r="G721" s="19"/>
      <c r="H721" s="19"/>
    </row>
  </sheetData>
  <mergeCells count="1">
    <mergeCell ref="C2:D2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System_load_trend</vt:lpstr>
      <vt:lpstr>Inflow_vs_Outflow_Analysis</vt:lpstr>
      <vt:lpstr>Backlog_Accumulation_Trend</vt:lpstr>
      <vt:lpstr>HHS_Unaccompanied_Alien_Childre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Mehta</dc:creator>
  <cp:lastModifiedBy>Tushar Mehta</cp:lastModifiedBy>
  <dcterms:created xsi:type="dcterms:W3CDTF">2026-05-14T07:18:31Z</dcterms:created>
  <dcterms:modified xsi:type="dcterms:W3CDTF">2026-05-21T07:20:52Z</dcterms:modified>
</cp:coreProperties>
</file>